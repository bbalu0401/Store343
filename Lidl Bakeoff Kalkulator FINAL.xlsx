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-off Kalkulá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1"/>
    </font>
    <font>
      <b val="1"/>
      <color rgb="00002060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22" customWidth="1" min="10" max="10"/>
    <col width="22" customWidth="1" min="11" max="11"/>
  </cols>
  <sheetData>
    <row r="1" ht="30" customHeight="1">
      <c r="A1" s="1" t="inlineStr">
        <is>
          <t>LIDL BAKE-OFF KÉSZLET KALKULÁTOR - 71 TERMÉK</t>
        </is>
      </c>
    </row>
    <row r="2">
      <c r="A2" s="2" t="inlineStr">
        <is>
          <t>Kritikus időszak: Péntek-Vasárnap (3 teljes nap) | Mind a 71 termék előre kitöltve</t>
        </is>
      </c>
    </row>
    <row r="4" ht="45" customHeight="1">
      <c r="A4" s="3" t="inlineStr">
        <is>
          <t>Termék neve</t>
        </is>
      </c>
      <c r="B4" s="3" t="inlineStr">
        <is>
          <t>Cikkszám</t>
        </is>
      </c>
      <c r="C4" s="3" t="inlineStr">
        <is>
          <t>Karton tartalom
(db/karton vagy kg)</t>
        </is>
      </c>
      <c r="D4" s="3" t="inlineStr">
        <is>
          <t>PLU
(Program)</t>
        </is>
      </c>
      <c r="E4" s="3" t="inlineStr">
        <is>
          <t>Péntek
teljes nap</t>
        </is>
      </c>
      <c r="F4" s="3" t="inlineStr">
        <is>
          <t>Szombat
teljes nap</t>
        </is>
      </c>
      <c r="G4" s="3" t="inlineStr">
        <is>
          <t>Vasárnap
teljes nap</t>
        </is>
      </c>
      <c r="H4" s="3" t="inlineStr">
        <is>
          <t>ÖSSZES FOGYÁS</t>
        </is>
      </c>
      <c r="I4" s="3" t="inlineStr">
        <is>
          <t>Szükséges
karton</t>
        </is>
      </c>
      <c r="J4" s="3" t="inlineStr">
        <is>
          <t>Készlet +20%
(ajánlott)</t>
        </is>
      </c>
      <c r="K4" s="3" t="inlineStr">
        <is>
          <t>Készlet +30%
(biztonságos)</t>
        </is>
      </c>
    </row>
    <row r="5">
      <c r="A5" s="4" t="inlineStr">
        <is>
          <t>Francia Baguette, (FGY) 125g</t>
        </is>
      </c>
      <c r="B5" s="5" t="n">
        <v>6703867</v>
      </c>
      <c r="C5" s="5" t="n">
        <v>80</v>
      </c>
      <c r="D5" s="5" t="n"/>
      <c r="E5" s="5" t="n"/>
      <c r="F5" s="5" t="n"/>
      <c r="G5" s="5" t="n"/>
      <c r="H5" s="6">
        <f>E5+F5+G5</f>
        <v/>
      </c>
      <c r="I5" s="6">
        <f>IF(C5=0,"",ROUNDUP(H5/C5,0))</f>
        <v/>
      </c>
      <c r="J5" s="7">
        <f>IF(I5="","",ROUNDUP(I5*1.2,0))</f>
        <v/>
      </c>
      <c r="K5" s="8">
        <f>IF(I5="","",ROUNDUP(I5*1.3,0))</f>
        <v/>
      </c>
    </row>
    <row r="6">
      <c r="A6" s="4" t="inlineStr">
        <is>
          <t>Burgonyás vekni kovásszal (MM), 420g</t>
        </is>
      </c>
      <c r="B6" s="5" t="n">
        <v>6416941</v>
      </c>
      <c r="C6" s="5" t="n">
        <v>18</v>
      </c>
      <c r="D6" s="5" t="n"/>
      <c r="E6" s="5" t="n"/>
      <c r="F6" s="5" t="n"/>
      <c r="G6" s="5" t="n"/>
      <c r="H6" s="6">
        <f>E6+F6+G6</f>
        <v/>
      </c>
      <c r="I6" s="6">
        <f>IF(C6=0,"",ROUNDUP(H6/C6,0))</f>
        <v/>
      </c>
      <c r="J6" s="7">
        <f>IF(I6="","",ROUNDUP(I6*1.2,0))</f>
        <v/>
      </c>
      <c r="K6" s="8">
        <f>IF(I6="","",ROUNDUP(I6*1.3,0))</f>
        <v/>
      </c>
    </row>
    <row r="7">
      <c r="A7" s="4" t="inlineStr">
        <is>
          <t>Briós cukor szórattal, 65g</t>
        </is>
      </c>
      <c r="B7" s="5" t="n">
        <v>6409244</v>
      </c>
      <c r="C7" s="5" t="n">
        <v>90</v>
      </c>
      <c r="D7" s="5" t="n"/>
      <c r="E7" s="5" t="n"/>
      <c r="F7" s="5" t="n"/>
      <c r="G7" s="5" t="n"/>
      <c r="H7" s="6">
        <f>E7+F7+G7</f>
        <v/>
      </c>
      <c r="I7" s="6">
        <f>IF(C7=0,"",ROUNDUP(H7/C7,0))</f>
        <v/>
      </c>
      <c r="J7" s="7">
        <f>IF(I7="","",ROUNDUP(I7*1.2,0))</f>
        <v/>
      </c>
      <c r="K7" s="8">
        <f>IF(I7="","",ROUNDUP(I7*1.3,0))</f>
        <v/>
      </c>
    </row>
    <row r="8">
      <c r="A8" s="4" t="inlineStr">
        <is>
          <t>Croustille (FGY), 250g</t>
        </is>
      </c>
      <c r="B8" s="5" t="n">
        <v>144723</v>
      </c>
      <c r="C8" s="5" t="n">
        <v>30</v>
      </c>
      <c r="D8" s="5" t="n"/>
      <c r="E8" s="5" t="n"/>
      <c r="F8" s="5" t="n"/>
      <c r="G8" s="5" t="n"/>
      <c r="H8" s="6">
        <f>E8+F8+G8</f>
        <v/>
      </c>
      <c r="I8" s="6">
        <f>IF(C8=0,"",ROUNDUP(H8/C8,0))</f>
        <v/>
      </c>
      <c r="J8" s="7">
        <f>IF(I8="","",ROUNDUP(I8*1.2,0))</f>
        <v/>
      </c>
      <c r="K8" s="8">
        <f>IF(I8="","",ROUNDUP(I8*1.3,0))</f>
        <v/>
      </c>
    </row>
    <row r="9">
      <c r="A9" s="4" t="inlineStr">
        <is>
          <t>Nosztalgia kifli (MM), 85g</t>
        </is>
      </c>
      <c r="B9" s="5" t="n">
        <v>6407756</v>
      </c>
      <c r="C9" s="5" t="n">
        <v>60</v>
      </c>
      <c r="D9" s="5" t="n"/>
      <c r="E9" s="5" t="n"/>
      <c r="F9" s="5" t="n"/>
      <c r="G9" s="5" t="n"/>
      <c r="H9" s="6">
        <f>E9+F9+G9</f>
        <v/>
      </c>
      <c r="I9" s="6">
        <f>IF(C9=0,"",ROUNDUP(H9/C9,0))</f>
        <v/>
      </c>
      <c r="J9" s="7">
        <f>IF(I9="","",ROUNDUP(I9*1.2,0))</f>
        <v/>
      </c>
      <c r="K9" s="8">
        <f>IF(I9="","",ROUNDUP(I9*1.3,0))</f>
        <v/>
      </c>
    </row>
    <row r="10">
      <c r="A10" s="4" t="inlineStr">
        <is>
          <t>Nosztalgia kifli teljes kiőrlésű liszttel, 90g</t>
        </is>
      </c>
      <c r="B10" s="5" t="n">
        <v>6408709</v>
      </c>
      <c r="C10" s="5" t="n">
        <v>60</v>
      </c>
      <c r="D10" s="5" t="n"/>
      <c r="E10" s="5" t="n"/>
      <c r="F10" s="5" t="n"/>
      <c r="G10" s="5" t="n"/>
      <c r="H10" s="6">
        <f>E10+F10+G10</f>
        <v/>
      </c>
      <c r="I10" s="6">
        <f>IF(C10=0,"",ROUNDUP(H10/C10,0))</f>
        <v/>
      </c>
      <c r="J10" s="7">
        <f>IF(I10="","",ROUNDUP(I10*1.2,0))</f>
        <v/>
      </c>
      <c r="K10" s="8">
        <f>IF(I10="","",ROUNDUP(I10*1.3,0))</f>
        <v/>
      </c>
    </row>
    <row r="11">
      <c r="A11" s="4" t="inlineStr">
        <is>
          <t>Olívás stangli, 80g (MM)</t>
        </is>
      </c>
      <c r="B11" s="5" t="n">
        <v>6417923</v>
      </c>
      <c r="C11" s="5" t="n">
        <v>84</v>
      </c>
      <c r="D11" s="5" t="n"/>
      <c r="E11" s="5" t="n"/>
      <c r="F11" s="5" t="n"/>
      <c r="G11" s="5" t="n"/>
      <c r="H11" s="6">
        <f>E11+F11+G11</f>
        <v/>
      </c>
      <c r="I11" s="6">
        <f>IF(C11=0,"",ROUNDUP(H11/C11,0))</f>
        <v/>
      </c>
      <c r="J11" s="7">
        <f>IF(I11="","",ROUNDUP(I11*1.2,0))</f>
        <v/>
      </c>
      <c r="K11" s="8">
        <f>IF(I11="","",ROUNDUP(I11*1.3,0))</f>
        <v/>
      </c>
    </row>
    <row r="12">
      <c r="A12" s="4" t="inlineStr">
        <is>
          <t>Nosztalgia kifli, sajtal és növényi olajos specialitással szórt, 95g</t>
        </is>
      </c>
      <c r="B12" s="5" t="n">
        <v>6409242</v>
      </c>
      <c r="C12" s="5" t="n">
        <v>60</v>
      </c>
      <c r="D12" s="5" t="n"/>
      <c r="E12" s="5" t="n"/>
      <c r="F12" s="5" t="n"/>
      <c r="G12" s="5" t="n"/>
      <c r="H12" s="6">
        <f>E12+F12+G12</f>
        <v/>
      </c>
      <c r="I12" s="6">
        <f>IF(C12=0,"",ROUNDUP(H12/C12,0))</f>
        <v/>
      </c>
      <c r="J12" s="7">
        <f>IF(I12="","",ROUNDUP(I12*1.2,0))</f>
        <v/>
      </c>
      <c r="K12" s="8">
        <f>IF(I12="","",ROUNDUP(I12*1.3,0))</f>
        <v/>
      </c>
    </row>
    <row r="13">
      <c r="A13" s="4" t="inlineStr">
        <is>
          <t>Pogácsa sajtal és növényi olajos specialitással szórt, 77g</t>
        </is>
      </c>
      <c r="B13" s="5" t="n">
        <v>6410263</v>
      </c>
      <c r="C13" s="5" t="n">
        <v>84</v>
      </c>
      <c r="D13" s="5" t="n"/>
      <c r="E13" s="5" t="n"/>
      <c r="F13" s="5" t="n"/>
      <c r="G13" s="5" t="n"/>
      <c r="H13" s="6">
        <f>E13+F13+G13</f>
        <v/>
      </c>
      <c r="I13" s="6">
        <f>IF(C13=0,"",ROUNDUP(H13/C13,0))</f>
        <v/>
      </c>
      <c r="J13" s="7">
        <f>IF(I13="","",ROUNDUP(I13*1.2,0))</f>
        <v/>
      </c>
      <c r="K13" s="8">
        <f>IF(I13="","",ROUNDUP(I13*1.3,0))</f>
        <v/>
      </c>
    </row>
    <row r="14">
      <c r="A14" s="4" t="inlineStr">
        <is>
          <t>Kovászos cipó, 400g</t>
        </is>
      </c>
      <c r="B14" s="5" t="n">
        <v>6409024</v>
      </c>
      <c r="C14" s="5" t="n">
        <v>20</v>
      </c>
      <c r="D14" s="5" t="n"/>
      <c r="E14" s="5" t="n"/>
      <c r="F14" s="5" t="n"/>
      <c r="G14" s="5" t="n"/>
      <c r="H14" s="6">
        <f>E14+F14+G14</f>
        <v/>
      </c>
      <c r="I14" s="6">
        <f>IF(C14=0,"",ROUNDUP(H14/C14,0))</f>
        <v/>
      </c>
      <c r="J14" s="7">
        <f>IF(I14="","",ROUNDUP(I14*1.2,0))</f>
        <v/>
      </c>
      <c r="K14" s="8">
        <f>IF(I14="","",ROUNDUP(I14*1.3,0))</f>
        <v/>
      </c>
    </row>
    <row r="15">
      <c r="A15" s="4" t="inlineStr">
        <is>
          <t>Sokmagvas cipó, 350g (MM)</t>
        </is>
      </c>
      <c r="B15" s="5" t="n">
        <v>6415779</v>
      </c>
      <c r="C15" s="5" t="n">
        <v>20</v>
      </c>
      <c r="D15" s="5" t="n"/>
      <c r="E15" s="5" t="n"/>
      <c r="F15" s="5" t="n"/>
      <c r="G15" s="5" t="n"/>
      <c r="H15" s="6">
        <f>E15+F15+G15</f>
        <v/>
      </c>
      <c r="I15" s="6">
        <f>IF(C15=0,"",ROUNDUP(H15/C15,0))</f>
        <v/>
      </c>
      <c r="J15" s="7">
        <f>IF(I15="","",ROUNDUP(I15*1.2,0))</f>
        <v/>
      </c>
      <c r="K15" s="8">
        <f>IF(I15="","",ROUNDUP(I15*1.3,0))</f>
        <v/>
      </c>
    </row>
    <row r="16">
      <c r="A16" s="4" t="inlineStr">
        <is>
          <t>Nosztalgia Vekni Kovásszal, 330g (MM)</t>
        </is>
      </c>
      <c r="B16" s="5" t="n">
        <v>6412292</v>
      </c>
      <c r="C16" s="5" t="n">
        <v>20</v>
      </c>
      <c r="D16" s="5" t="n"/>
      <c r="E16" s="5" t="n"/>
      <c r="F16" s="5" t="n"/>
      <c r="G16" s="5" t="n"/>
      <c r="H16" s="6">
        <f>E16+F16+G16</f>
        <v/>
      </c>
      <c r="I16" s="6">
        <f>IF(C16=0,"",ROUNDUP(H16/C16,0))</f>
        <v/>
      </c>
      <c r="J16" s="7">
        <f>IF(I16="","",ROUNDUP(I16*1.2,0))</f>
        <v/>
      </c>
      <c r="K16" s="8">
        <f>IF(I16="","",ROUNDUP(I16*1.3,0))</f>
        <v/>
      </c>
    </row>
    <row r="17">
      <c r="A17" s="4" t="inlineStr">
        <is>
          <t>Házi vekni, 500g (MM)</t>
        </is>
      </c>
      <c r="B17" s="5" t="n">
        <v>4125</v>
      </c>
      <c r="C17" s="5" t="n">
        <v>16</v>
      </c>
      <c r="D17" s="5" t="n"/>
      <c r="E17" s="5" t="n"/>
      <c r="F17" s="5" t="n"/>
      <c r="G17" s="5" t="n"/>
      <c r="H17" s="6">
        <f>E17+F17+G17</f>
        <v/>
      </c>
      <c r="I17" s="6">
        <f>IF(C17=0,"",ROUNDUP(H17/C17,0))</f>
        <v/>
      </c>
      <c r="J17" s="7">
        <f>IF(I17="","",ROUNDUP(I17*1.2,0))</f>
        <v/>
      </c>
      <c r="K17" s="8">
        <f>IF(I17="","",ROUNDUP(I17*1.3,0))</f>
        <v/>
      </c>
    </row>
    <row r="18">
      <c r="A18" s="4" t="inlineStr">
        <is>
          <t>Kovászos durum vekni, 400g (MM)</t>
        </is>
      </c>
      <c r="B18" s="5" t="n">
        <v>6414236</v>
      </c>
      <c r="C18" s="5" t="n">
        <v>15</v>
      </c>
      <c r="D18" s="5" t="n"/>
      <c r="E18" s="5" t="n"/>
      <c r="F18" s="5" t="n"/>
      <c r="G18" s="5" t="n"/>
      <c r="H18" s="6">
        <f>E18+F18+G18</f>
        <v/>
      </c>
      <c r="I18" s="6">
        <f>IF(C18=0,"",ROUNDUP(H18/C18,0))</f>
        <v/>
      </c>
      <c r="J18" s="7">
        <f>IF(I18="","",ROUNDUP(I18*1.2,0))</f>
        <v/>
      </c>
      <c r="K18" s="8">
        <f>IF(I18="","",ROUNDUP(I18*1.3,0))</f>
        <v/>
      </c>
    </row>
    <row r="19">
      <c r="A19" s="4" t="inlineStr">
        <is>
          <t>Pilis Kovászos rozscipó, 400g (MM)</t>
        </is>
      </c>
      <c r="B19" s="5" t="n">
        <v>6415335</v>
      </c>
      <c r="C19" s="5" t="n">
        <v>20</v>
      </c>
      <c r="D19" s="5" t="n"/>
      <c r="E19" s="5" t="n"/>
      <c r="F19" s="5" t="n"/>
      <c r="G19" s="5" t="n"/>
      <c r="H19" s="6">
        <f>E19+F19+G19</f>
        <v/>
      </c>
      <c r="I19" s="6">
        <f>IF(C19=0,"",ROUNDUP(H19/C19,0))</f>
        <v/>
      </c>
      <c r="J19" s="7">
        <f>IF(I19="","",ROUNDUP(I19*1.2,0))</f>
        <v/>
      </c>
      <c r="K19" s="8">
        <f>IF(I19="","",ROUNDUP(I19*1.3,0))</f>
        <v/>
      </c>
    </row>
    <row r="20">
      <c r="A20" s="4" t="inlineStr">
        <is>
          <t>Császárbuci, 55g</t>
        </is>
      </c>
      <c r="B20" s="5" t="n">
        <v>6408671</v>
      </c>
      <c r="C20" s="5" t="n">
        <v>90</v>
      </c>
      <c r="D20" s="5" t="n"/>
      <c r="E20" s="5" t="n"/>
      <c r="F20" s="5" t="n"/>
      <c r="G20" s="5" t="n"/>
      <c r="H20" s="6">
        <f>E20+F20+G20</f>
        <v/>
      </c>
      <c r="I20" s="6">
        <f>IF(C20=0,"",ROUNDUP(H20/C20,0))</f>
        <v/>
      </c>
      <c r="J20" s="7">
        <f>IF(I20="","",ROUNDUP(I20*1.2,0))</f>
        <v/>
      </c>
      <c r="K20" s="8">
        <f>IF(I20="","",ROUNDUP(I20*1.3,0))</f>
        <v/>
      </c>
    </row>
    <row r="21">
      <c r="A21" s="4" t="inlineStr">
        <is>
          <t>Magvas császárbuci teljes kiőrlésű liszttel (MM), 65g</t>
        </is>
      </c>
      <c r="B21" s="5" t="n">
        <v>6412896</v>
      </c>
      <c r="C21" s="5" t="n">
        <v>90</v>
      </c>
      <c r="D21" s="5" t="n"/>
      <c r="E21" s="5" t="n"/>
      <c r="F21" s="5" t="n"/>
      <c r="G21" s="5" t="n"/>
      <c r="H21" s="6">
        <f>E21+F21+G21</f>
        <v/>
      </c>
      <c r="I21" s="6">
        <f>IF(C21=0,"",ROUNDUP(H21/C21,0))</f>
        <v/>
      </c>
      <c r="J21" s="7">
        <f>IF(I21="","",ROUNDUP(I21*1.2,0))</f>
        <v/>
      </c>
      <c r="K21" s="8">
        <f>IF(I21="","",ROUNDUP(I21*1.3,0))</f>
        <v/>
      </c>
    </row>
    <row r="22">
      <c r="A22" s="4" t="inlineStr">
        <is>
          <t>Pur Pur Stangli, teljes kiőrlésű liszttel (MM) 90g</t>
        </is>
      </c>
      <c r="B22" s="5" t="n">
        <v>6418592</v>
      </c>
      <c r="C22" s="5" t="n">
        <v>60</v>
      </c>
      <c r="D22" s="5" t="n"/>
      <c r="E22" s="5" t="n"/>
      <c r="F22" s="5" t="n"/>
      <c r="G22" s="5" t="n"/>
      <c r="H22" s="6">
        <f>E22+F22+G22</f>
        <v/>
      </c>
      <c r="I22" s="6">
        <f>IF(C22=0,"",ROUNDUP(H22/C22,0))</f>
        <v/>
      </c>
      <c r="J22" s="7">
        <f>IF(I22="","",ROUNDUP(I22*1.2,0))</f>
        <v/>
      </c>
      <c r="K22" s="8">
        <f>IF(I22="","",ROUNDUP(I22*1.3,0))</f>
        <v/>
      </c>
    </row>
    <row r="23">
      <c r="A23" s="4" t="inlineStr">
        <is>
          <t>Csokoládés croissant (MM), 100g</t>
        </is>
      </c>
      <c r="B23" s="5" t="n">
        <v>230002</v>
      </c>
      <c r="C23" s="5" t="n">
        <v>26</v>
      </c>
      <c r="D23" s="5" t="n"/>
      <c r="E23" s="5" t="n"/>
      <c r="F23" s="5" t="n"/>
      <c r="G23" s="5" t="n"/>
      <c r="H23" s="6">
        <f>E23+F23+G23</f>
        <v/>
      </c>
      <c r="I23" s="6">
        <f>IF(C23=0,"",ROUNDUP(H23/C23,0))</f>
        <v/>
      </c>
      <c r="J23" s="7">
        <f>IF(I23="","",ROUNDUP(I23*1.2,0))</f>
        <v/>
      </c>
      <c r="K23" s="8">
        <f>IF(I23="","",ROUNDUP(I23*1.3,0))</f>
        <v/>
      </c>
    </row>
    <row r="24">
      <c r="A24" s="4" t="inlineStr">
        <is>
          <t>Pizzás csiga, 100g (MM)</t>
        </is>
      </c>
      <c r="B24" s="5" t="n">
        <v>6417926</v>
      </c>
      <c r="C24" s="5" t="n">
        <v>68</v>
      </c>
      <c r="D24" s="5" t="n"/>
      <c r="E24" s="5" t="n"/>
      <c r="F24" s="5" t="n"/>
      <c r="G24" s="5" t="n"/>
      <c r="H24" s="6">
        <f>E24+F24+G24</f>
        <v/>
      </c>
      <c r="I24" s="6">
        <f>IF(C24=0,"",ROUNDUP(H24/C24,0))</f>
        <v/>
      </c>
      <c r="J24" s="7">
        <f>IF(I24="","",ROUNDUP(I24*1.2,0))</f>
        <v/>
      </c>
      <c r="K24" s="8">
        <f>IF(I24="","",ROUNDUP(I24*1.3,0))</f>
        <v/>
      </c>
    </row>
    <row r="25">
      <c r="A25" s="4" t="inlineStr">
        <is>
          <t>Durum baguette (MM), 150g</t>
        </is>
      </c>
      <c r="B25" s="5" t="n">
        <v>6417712</v>
      </c>
      <c r="C25" s="5" t="n">
        <v>48</v>
      </c>
      <c r="D25" s="5" t="n"/>
      <c r="E25" s="5" t="n"/>
      <c r="F25" s="5" t="n"/>
      <c r="G25" s="5" t="n"/>
      <c r="H25" s="6">
        <f>E25+F25+G25</f>
        <v/>
      </c>
      <c r="I25" s="6">
        <f>IF(C25=0,"",ROUNDUP(H25/C25,0))</f>
        <v/>
      </c>
      <c r="J25" s="7">
        <f>IF(I25="","",ROUNDUP(I25*1.2,0))</f>
        <v/>
      </c>
      <c r="K25" s="8">
        <f>IF(I25="","",ROUNDUP(I25*1.3,0))</f>
        <v/>
      </c>
    </row>
    <row r="26">
      <c r="A26" s="4" t="inlineStr">
        <is>
          <t>Vajas fonott kalács (MM), 250g</t>
        </is>
      </c>
      <c r="B26" s="5" t="n">
        <v>6415538</v>
      </c>
      <c r="C26" s="5" t="n">
        <v>12</v>
      </c>
      <c r="D26" s="5" t="n"/>
      <c r="E26" s="5" t="n"/>
      <c r="F26" s="5" t="n"/>
      <c r="G26" s="5" t="n"/>
      <c r="H26" s="6">
        <f>E26+F26+G26</f>
        <v/>
      </c>
      <c r="I26" s="6">
        <f>IF(C26=0,"",ROUNDUP(H26/C26,0))</f>
        <v/>
      </c>
      <c r="J26" s="7">
        <f>IF(I26="","",ROUNDUP(I26*1.2,0))</f>
        <v/>
      </c>
      <c r="K26" s="8">
        <f>IF(I26="","",ROUNDUP(I26*1.3,0))</f>
        <v/>
      </c>
    </row>
    <row r="27">
      <c r="A27" s="4" t="inlineStr">
        <is>
          <t>Sajtos-sonkás croissant (MM), 95g</t>
        </is>
      </c>
      <c r="B27" s="5" t="n">
        <v>227544</v>
      </c>
      <c r="C27" s="5" t="n">
        <v>120</v>
      </c>
      <c r="D27" s="5" t="n"/>
      <c r="E27" s="5" t="n"/>
      <c r="F27" s="5" t="n"/>
      <c r="G27" s="5" t="n"/>
      <c r="H27" s="6">
        <f>E27+F27+G27</f>
        <v/>
      </c>
      <c r="I27" s="6">
        <f>IF(C27=0,"",ROUNDUP(H27/C27,0))</f>
        <v/>
      </c>
      <c r="J27" s="7">
        <f>IF(I27="","",ROUNDUP(I27*1.2,0))</f>
        <v/>
      </c>
      <c r="K27" s="8">
        <f>IF(I27="","",ROUNDUP(I27*1.3,0))</f>
        <v/>
      </c>
    </row>
    <row r="28">
      <c r="A28" s="4" t="inlineStr">
        <is>
          <t>Mogyorós töltött fánk, 68g (MM)</t>
        </is>
      </c>
      <c r="B28" s="5" t="n">
        <v>195737</v>
      </c>
      <c r="C28" s="5" t="n">
        <v>48</v>
      </c>
      <c r="D28" s="5" t="n"/>
      <c r="E28" s="5" t="n"/>
      <c r="F28" s="5" t="n"/>
      <c r="G28" s="5" t="n"/>
      <c r="H28" s="6">
        <f>E28+F28+G28</f>
        <v/>
      </c>
      <c r="I28" s="6">
        <f>IF(C28=0,"",ROUNDUP(H28/C28,0))</f>
        <v/>
      </c>
      <c r="J28" s="7">
        <f>IF(I28="","",ROUNDUP(I28*1.2,0))</f>
        <v/>
      </c>
      <c r="K28" s="8">
        <f>IF(I28="","",ROUNDUP(I28*1.3,0))</f>
        <v/>
      </c>
    </row>
    <row r="29">
      <c r="A29" s="4" t="inlineStr">
        <is>
          <t>Almás-fahéjas fánk, 62g (MM)</t>
        </is>
      </c>
      <c r="B29" s="5" t="n">
        <v>203327</v>
      </c>
      <c r="C29" s="5" t="n">
        <v>48</v>
      </c>
      <c r="D29" s="5" t="n"/>
      <c r="E29" s="5" t="n"/>
      <c r="F29" s="5" t="n"/>
      <c r="G29" s="5" t="n"/>
      <c r="H29" s="6">
        <f>E29+F29+G29</f>
        <v/>
      </c>
      <c r="I29" s="6">
        <f>IF(C29=0,"",ROUNDUP(H29/C29,0))</f>
        <v/>
      </c>
      <c r="J29" s="7">
        <f>IF(I29="","",ROUNDUP(I29*1.2,0))</f>
        <v/>
      </c>
      <c r="K29" s="8">
        <f>IF(I29="","",ROUNDUP(I29*1.3,0))</f>
        <v/>
      </c>
    </row>
    <row r="30">
      <c r="A30" s="4" t="inlineStr">
        <is>
          <t>Eperízű fánk színes szórással (MM), 53g</t>
        </is>
      </c>
      <c r="B30" s="5" t="n">
        <v>195746</v>
      </c>
      <c r="C30" s="5" t="n">
        <v>48</v>
      </c>
      <c r="D30" s="5" t="n"/>
      <c r="E30" s="5" t="n"/>
      <c r="F30" s="5" t="n"/>
      <c r="G30" s="5" t="n"/>
      <c r="H30" s="6">
        <f>E30+F30+G30</f>
        <v/>
      </c>
      <c r="I30" s="6">
        <f>IF(C30=0,"",ROUNDUP(H30/C30,0))</f>
        <v/>
      </c>
      <c r="J30" s="7">
        <f>IF(I30="","",ROUNDUP(I30*1.2,0))</f>
        <v/>
      </c>
      <c r="K30" s="8">
        <f>IF(I30="","",ROUNDUP(I30*1.3,0))</f>
        <v/>
      </c>
    </row>
    <row r="31">
      <c r="A31" s="4" t="inlineStr">
        <is>
          <t>Cookie Monster 60g (MM)</t>
        </is>
      </c>
      <c r="B31" s="5" t="n">
        <v>196641</v>
      </c>
      <c r="C31" s="5" t="n">
        <v>60</v>
      </c>
      <c r="D31" s="5" t="n"/>
      <c r="E31" s="5" t="n"/>
      <c r="F31" s="5" t="n"/>
      <c r="G31" s="5" t="n"/>
      <c r="H31" s="6">
        <f>E31+F31+G31</f>
        <v/>
      </c>
      <c r="I31" s="6">
        <f>IF(C31=0,"",ROUNDUP(H31/C31,0))</f>
        <v/>
      </c>
      <c r="J31" s="7">
        <f>IF(I31="","",ROUNDUP(I31*1.2,0))</f>
        <v/>
      </c>
      <c r="K31" s="8">
        <f>IF(I31="","",ROUNDUP(I31*1.3,0))</f>
        <v/>
      </c>
    </row>
    <row r="32">
      <c r="A32" s="4" t="inlineStr">
        <is>
          <t>Csokoládés fánk, csokoládé szórással, 56g (MM)</t>
        </is>
      </c>
      <c r="B32" s="5" t="n">
        <v>182155</v>
      </c>
      <c r="C32" s="5" t="n">
        <v>120</v>
      </c>
      <c r="D32" s="5" t="n"/>
      <c r="E32" s="5" t="n"/>
      <c r="F32" s="5" t="n"/>
      <c r="G32" s="5" t="n"/>
      <c r="H32" s="6">
        <f>E32+F32+G32</f>
        <v/>
      </c>
      <c r="I32" s="6">
        <f>IF(C32=0,"",ROUNDUP(H32/C32,0))</f>
        <v/>
      </c>
      <c r="J32" s="7">
        <f>IF(I32="","",ROUNDUP(I32*1.2,0))</f>
        <v/>
      </c>
      <c r="K32" s="8">
        <f>IF(I32="","",ROUNDUP(I32*1.3,0))</f>
        <v/>
      </c>
    </row>
    <row r="33">
      <c r="A33" s="4" t="inlineStr">
        <is>
          <t>Töltött fánk, 65g</t>
        </is>
      </c>
      <c r="B33" s="5" t="n">
        <v>5505443</v>
      </c>
      <c r="C33" s="5" t="n">
        <v>12</v>
      </c>
      <c r="D33" s="5" t="n"/>
      <c r="E33" s="5" t="n"/>
      <c r="F33" s="5" t="n"/>
      <c r="G33" s="5" t="n"/>
      <c r="H33" s="6">
        <f>E33+F33+G33</f>
        <v/>
      </c>
      <c r="I33" s="6">
        <f>IF(C33=0,"",ROUNDUP(H33/C33,0))</f>
        <v/>
      </c>
      <c r="J33" s="7">
        <f>IF(I33="","",ROUNDUP(I33*1.2,0))</f>
        <v/>
      </c>
      <c r="K33" s="8">
        <f>IF(I33="","",ROUNDUP(I33*1.3,0))</f>
        <v/>
      </c>
    </row>
    <row r="34">
      <c r="A34" s="4" t="inlineStr">
        <is>
          <t>Belga csokoládés-meggyes párna, 90g</t>
        </is>
      </c>
      <c r="B34" s="5" t="n">
        <v>6403162</v>
      </c>
      <c r="C34" s="5" t="n">
        <v>96</v>
      </c>
      <c r="D34" s="5" t="n"/>
      <c r="E34" s="5" t="n"/>
      <c r="F34" s="5" t="n"/>
      <c r="G34" s="5" t="n"/>
      <c r="H34" s="6">
        <f>E34+F34+G34</f>
        <v/>
      </c>
      <c r="I34" s="6">
        <f>IF(C34=0,"",ROUNDUP(H34/C34,0))</f>
        <v/>
      </c>
      <c r="J34" s="7">
        <f>IF(I34="","",ROUNDUP(I34*1.2,0))</f>
        <v/>
      </c>
      <c r="K34" s="8">
        <f>IF(I34="","",ROUNDUP(I34*1.3,0))</f>
        <v/>
      </c>
    </row>
    <row r="35">
      <c r="A35" s="4" t="inlineStr">
        <is>
          <t>Almás háromszög, 110g (MM)</t>
        </is>
      </c>
      <c r="B35" s="5" t="n">
        <v>6415264</v>
      </c>
      <c r="C35" s="5" t="n">
        <v>72</v>
      </c>
      <c r="D35" s="5" t="n"/>
      <c r="E35" s="5" t="n"/>
      <c r="F35" s="5" t="n"/>
      <c r="G35" s="5" t="n"/>
      <c r="H35" s="6">
        <f>E35+F35+G35</f>
        <v/>
      </c>
      <c r="I35" s="6">
        <f>IF(C35=0,"",ROUNDUP(H35/C35,0))</f>
        <v/>
      </c>
      <c r="J35" s="7">
        <f>IF(I35="","",ROUNDUP(I35*1.2,0))</f>
        <v/>
      </c>
      <c r="K35" s="8">
        <f>IF(I35="","",ROUNDUP(I35*1.3,0))</f>
        <v/>
      </c>
    </row>
    <row r="36">
      <c r="A36" s="4" t="inlineStr">
        <is>
          <t>Túrós táska, 135g</t>
        </is>
      </c>
      <c r="B36" s="5" t="n">
        <v>6409269</v>
      </c>
      <c r="C36" s="5" t="n">
        <v>45</v>
      </c>
      <c r="D36" s="5" t="n"/>
      <c r="E36" s="5" t="n"/>
      <c r="F36" s="5" t="n"/>
      <c r="G36" s="5" t="n"/>
      <c r="H36" s="6">
        <f>E36+F36+G36</f>
        <v/>
      </c>
      <c r="I36" s="6">
        <f>IF(C36=0,"",ROUNDUP(H36/C36,0))</f>
        <v/>
      </c>
      <c r="J36" s="7">
        <f>IF(I36="","",ROUNDUP(I36*1.2,0))</f>
        <v/>
      </c>
      <c r="K36" s="8">
        <f>IF(I36="","",ROUNDUP(I36*1.3,0))</f>
        <v/>
      </c>
    </row>
    <row r="37">
      <c r="A37" s="4" t="inlineStr">
        <is>
          <t>Sárgabarackos-túrós párna, 90g</t>
        </is>
      </c>
      <c r="B37" s="5" t="n">
        <v>1219</v>
      </c>
      <c r="C37" s="5" t="n">
        <v>96</v>
      </c>
      <c r="D37" s="5" t="n"/>
      <c r="E37" s="5" t="n"/>
      <c r="F37" s="5" t="n"/>
      <c r="G37" s="5" t="n"/>
      <c r="H37" s="6">
        <f>E37+F37+G37</f>
        <v/>
      </c>
      <c r="I37" s="6">
        <f>IF(C37=0,"",ROUNDUP(H37/C37,0))</f>
        <v/>
      </c>
      <c r="J37" s="7">
        <f>IF(I37="","",ROUNDUP(I37*1.2,0))</f>
        <v/>
      </c>
      <c r="K37" s="8">
        <f>IF(I37="","",ROUNDUP(I37*1.3,0))</f>
        <v/>
      </c>
    </row>
    <row r="38">
      <c r="A38" s="4" t="inlineStr">
        <is>
          <t>Csokoládés tekercs (FGY), 65g</t>
        </is>
      </c>
      <c r="B38" s="5" t="n">
        <v>6402493</v>
      </c>
      <c r="C38" s="5" t="n">
        <v>60</v>
      </c>
      <c r="D38" s="5" t="n"/>
      <c r="E38" s="5" t="n"/>
      <c r="F38" s="5" t="n"/>
      <c r="G38" s="5" t="n"/>
      <c r="H38" s="6">
        <f>E38+F38+G38</f>
        <v/>
      </c>
      <c r="I38" s="6">
        <f>IF(C38=0,"",ROUNDUP(H38/C38,0))</f>
        <v/>
      </c>
      <c r="J38" s="7">
        <f>IF(I38="","",ROUNDUP(I38*1.2,0))</f>
        <v/>
      </c>
      <c r="K38" s="8">
        <f>IF(I38="","",ROUNDUP(I38*1.3,0))</f>
        <v/>
      </c>
    </row>
    <row r="39">
      <c r="A39" s="4" t="inlineStr">
        <is>
          <t>Dupla csokis párna, 90g (MM)</t>
        </is>
      </c>
      <c r="B39" s="5" t="n">
        <v>6413187</v>
      </c>
      <c r="C39" s="5" t="n">
        <v>96</v>
      </c>
      <c r="D39" s="5" t="n"/>
      <c r="E39" s="5" t="n"/>
      <c r="F39" s="5" t="n"/>
      <c r="G39" s="5" t="n"/>
      <c r="H39" s="6">
        <f>E39+F39+G39</f>
        <v/>
      </c>
      <c r="I39" s="6">
        <f>IF(C39=0,"",ROUNDUP(H39/C39,0))</f>
        <v/>
      </c>
      <c r="J39" s="7">
        <f>IF(I39="","",ROUNDUP(I39*1.2,0))</f>
        <v/>
      </c>
      <c r="K39" s="8">
        <f>IF(I39="","",ROUNDUP(I39*1.3,0))</f>
        <v/>
      </c>
    </row>
    <row r="40">
      <c r="A40" s="4" t="inlineStr">
        <is>
          <t>Vajas croissant, 57g (MM)</t>
        </is>
      </c>
      <c r="B40" s="5" t="n">
        <v>121471</v>
      </c>
      <c r="C40" s="5" t="n">
        <v>120</v>
      </c>
      <c r="D40" s="5" t="n"/>
      <c r="E40" s="5" t="n"/>
      <c r="F40" s="5" t="n"/>
      <c r="G40" s="5" t="n"/>
      <c r="H40" s="6">
        <f>E40+F40+G40</f>
        <v/>
      </c>
      <c r="I40" s="6">
        <f>IF(C40=0,"",ROUNDUP(H40/C40,0))</f>
        <v/>
      </c>
      <c r="J40" s="7">
        <f>IF(I40="","",ROUNDUP(I40*1.2,0))</f>
        <v/>
      </c>
      <c r="K40" s="8">
        <f>IF(I40="","",ROUNDUP(I40*1.3,0))</f>
        <v/>
      </c>
    </row>
    <row r="41">
      <c r="A41" s="4" t="inlineStr">
        <is>
          <t>Pisztáciás kovászos croissant (MM), 80g</t>
        </is>
      </c>
      <c r="B41" s="5" t="n">
        <v>6019043</v>
      </c>
      <c r="C41" s="5" t="n">
        <v>54</v>
      </c>
      <c r="D41" s="5" t="n"/>
      <c r="E41" s="5" t="n"/>
      <c r="F41" s="5" t="n"/>
      <c r="G41" s="5" t="n"/>
      <c r="H41" s="6">
        <f>E41+F41+G41</f>
        <v/>
      </c>
      <c r="I41" s="6">
        <f>IF(C41=0,"",ROUNDUP(H41/C41,0))</f>
        <v/>
      </c>
      <c r="J41" s="7">
        <f>IF(I41="","",ROUNDUP(I41*1.2,0))</f>
        <v/>
      </c>
      <c r="K41" s="8">
        <f>IF(I41="","",ROUNDUP(I41*1.3,0))</f>
        <v/>
      </c>
    </row>
    <row r="42">
      <c r="A42" s="4" t="inlineStr">
        <is>
          <t>Mogyorókrémes croissant (MM), 85g</t>
        </is>
      </c>
      <c r="B42" s="5" t="n">
        <v>227543</v>
      </c>
      <c r="C42" s="5" t="n">
        <v>120</v>
      </c>
      <c r="D42" s="5" t="n"/>
      <c r="E42" s="5" t="n"/>
      <c r="F42" s="5" t="n"/>
      <c r="G42" s="5" t="n"/>
      <c r="H42" s="6">
        <f>E42+F42+G42</f>
        <v/>
      </c>
      <c r="I42" s="6">
        <f>IF(C42=0,"",ROUNDUP(H42/C42,0))</f>
        <v/>
      </c>
      <c r="J42" s="7">
        <f>IF(I42="","",ROUNDUP(I42*1.2,0))</f>
        <v/>
      </c>
      <c r="K42" s="8">
        <f>IF(I42="","",ROUNDUP(I42*1.3,0))</f>
        <v/>
      </c>
    </row>
    <row r="43">
      <c r="A43" s="4" t="inlineStr">
        <is>
          <t>Mogyorós-tejkrémes croissant (MM), 90g</t>
        </is>
      </c>
      <c r="B43" s="5" t="n">
        <v>6418416</v>
      </c>
      <c r="C43" s="5" t="n">
        <v>60</v>
      </c>
      <c r="D43" s="5" t="n"/>
      <c r="E43" s="5" t="n"/>
      <c r="F43" s="5" t="n"/>
      <c r="G43" s="5" t="n"/>
      <c r="H43" s="6">
        <f>E43+F43+G43</f>
        <v/>
      </c>
      <c r="I43" s="6">
        <f>IF(C43=0,"",ROUNDUP(H43/C43,0))</f>
        <v/>
      </c>
      <c r="J43" s="7">
        <f>IF(I43="","",ROUNDUP(I43*1.2,0))</f>
        <v/>
      </c>
      <c r="K43" s="8">
        <f>IF(I43="","",ROUNDUP(I43*1.3,0))</f>
        <v/>
      </c>
    </row>
    <row r="44">
      <c r="A44" s="4" t="inlineStr">
        <is>
          <t>Pekándiós párna (FGY), 81g</t>
        </is>
      </c>
      <c r="B44" s="5" t="n">
        <v>120914</v>
      </c>
      <c r="C44" s="5" t="n">
        <v>48</v>
      </c>
      <c r="D44" s="5" t="n"/>
      <c r="E44" s="5" t="n"/>
      <c r="F44" s="5" t="n"/>
      <c r="G44" s="5" t="n"/>
      <c r="H44" s="6">
        <f>E44+F44+G44</f>
        <v/>
      </c>
      <c r="I44" s="6">
        <f>IF(C44=0,"",ROUNDUP(H44/C44,0))</f>
        <v/>
      </c>
      <c r="J44" s="7">
        <f>IF(I44="","",ROUNDUP(I44*1.2,0))</f>
        <v/>
      </c>
      <c r="K44" s="8">
        <f>IF(I44="","",ROUNDUP(I44*1.3,0))</f>
        <v/>
      </c>
    </row>
    <row r="45">
      <c r="A45" s="4" t="inlineStr">
        <is>
          <t>Fahéjas csiga, 120g (MM)</t>
        </is>
      </c>
      <c r="B45" s="5" t="n">
        <v>6410892</v>
      </c>
      <c r="C45" s="5" t="n">
        <v>72</v>
      </c>
      <c r="D45" s="5" t="n"/>
      <c r="E45" s="5" t="n"/>
      <c r="F45" s="5" t="n"/>
      <c r="G45" s="5" t="n"/>
      <c r="H45" s="6">
        <f>E45+F45+G45</f>
        <v/>
      </c>
      <c r="I45" s="6">
        <f>IF(C45=0,"",ROUNDUP(H45/C45,0))</f>
        <v/>
      </c>
      <c r="J45" s="7">
        <f>IF(I45="","",ROUNDUP(I45*1.2,0))</f>
        <v/>
      </c>
      <c r="K45" s="8">
        <f>IF(I45="","",ROUNDUP(I45*1.3,0))</f>
        <v/>
      </c>
    </row>
    <row r="46">
      <c r="A46" s="4" t="inlineStr">
        <is>
          <t>Vitajó aranygaluska csiga, 100g (MM)</t>
        </is>
      </c>
      <c r="B46" s="5" t="n">
        <v>6413893</v>
      </c>
      <c r="C46" s="5" t="n">
        <v>42</v>
      </c>
      <c r="D46" s="5" t="n"/>
      <c r="E46" s="5" t="n"/>
      <c r="F46" s="5" t="n"/>
      <c r="G46" s="5" t="n"/>
      <c r="H46" s="6">
        <f>E46+F46+G46</f>
        <v/>
      </c>
      <c r="I46" s="6">
        <f>IF(C46=0,"",ROUNDUP(H46/C46,0))</f>
        <v/>
      </c>
      <c r="J46" s="7">
        <f>IF(I46="","",ROUNDUP(I46*1.2,0))</f>
        <v/>
      </c>
      <c r="K46" s="8">
        <f>IF(I46="","",ROUNDUP(I46*1.3,0))</f>
        <v/>
      </c>
    </row>
    <row r="47">
      <c r="A47" s="4" t="inlineStr">
        <is>
          <t>Fahéjas tekercs, 65g</t>
        </is>
      </c>
      <c r="B47" s="5" t="n">
        <v>6403546</v>
      </c>
      <c r="C47" s="5" t="n">
        <v>60</v>
      </c>
      <c r="D47" s="5" t="n"/>
      <c r="E47" s="5" t="n"/>
      <c r="F47" s="5" t="n"/>
      <c r="G47" s="5" t="n"/>
      <c r="H47" s="6">
        <f>E47+F47+G47</f>
        <v/>
      </c>
      <c r="I47" s="6">
        <f>IF(C47=0,"",ROUNDUP(H47/C47,0))</f>
        <v/>
      </c>
      <c r="J47" s="7">
        <f>IF(I47="","",ROUNDUP(I47*1.2,0))</f>
        <v/>
      </c>
      <c r="K47" s="8">
        <f>IF(I47="","",ROUNDUP(I47*1.3,0))</f>
        <v/>
      </c>
    </row>
    <row r="48">
      <c r="A48" s="4" t="inlineStr">
        <is>
          <t>Kakaós csiga, 120g</t>
        </is>
      </c>
      <c r="B48" s="5" t="n">
        <v>6408014</v>
      </c>
      <c r="C48" s="5" t="n">
        <v>72</v>
      </c>
      <c r="D48" s="5" t="n"/>
      <c r="E48" s="5" t="n"/>
      <c r="F48" s="5" t="n"/>
      <c r="G48" s="5" t="n"/>
      <c r="H48" s="6">
        <f>E48+F48+G48</f>
        <v/>
      </c>
      <c r="I48" s="6">
        <f>IF(C48=0,"",ROUNDUP(H48/C48,0))</f>
        <v/>
      </c>
      <c r="J48" s="7">
        <f>IF(I48="","",ROUNDUP(I48*1.2,0))</f>
        <v/>
      </c>
      <c r="K48" s="8">
        <f>IF(I48="","",ROUNDUP(I48*1.3,0))</f>
        <v/>
      </c>
    </row>
    <row r="49">
      <c r="A49" s="4" t="inlineStr">
        <is>
          <t>Túrós-csokis párna, 90g (MM)</t>
        </is>
      </c>
      <c r="B49" s="5" t="n">
        <v>6416779</v>
      </c>
      <c r="C49" s="5" t="n">
        <v>96</v>
      </c>
      <c r="D49" s="5" t="n"/>
      <c r="E49" s="5" t="n"/>
      <c r="F49" s="5" t="n"/>
      <c r="G49" s="5" t="n"/>
      <c r="H49" s="6">
        <f>E49+F49+G49</f>
        <v/>
      </c>
      <c r="I49" s="6">
        <f>IF(C49=0,"",ROUNDUP(H49/C49,0))</f>
        <v/>
      </c>
      <c r="J49" s="7">
        <f>IF(I49="","",ROUNDUP(I49*1.2,0))</f>
        <v/>
      </c>
      <c r="K49" s="8">
        <f>IF(I49="","",ROUNDUP(I49*1.3,0))</f>
        <v/>
      </c>
    </row>
    <row r="50">
      <c r="A50" s="4" t="inlineStr">
        <is>
          <t>Kakaós csiga teljes kiőrlésű búzaliszttel, édesítőszerekkel, 100g</t>
        </is>
      </c>
      <c r="B50" s="5" t="n">
        <v>6409350</v>
      </c>
      <c r="C50" s="5" t="n">
        <v>72</v>
      </c>
      <c r="D50" s="5" t="n"/>
      <c r="E50" s="5" t="n"/>
      <c r="F50" s="5" t="n"/>
      <c r="G50" s="5" t="n"/>
      <c r="H50" s="6">
        <f>E50+F50+G50</f>
        <v/>
      </c>
      <c r="I50" s="6">
        <f>IF(C50=0,"",ROUNDUP(H50/C50,0))</f>
        <v/>
      </c>
      <c r="J50" s="7">
        <f>IF(I50="","",ROUNDUP(I50*1.2,0))</f>
        <v/>
      </c>
      <c r="K50" s="8">
        <f>IF(I50="","",ROUNDUP(I50*1.3,0))</f>
        <v/>
      </c>
    </row>
    <row r="51">
      <c r="A51" s="4" t="inlineStr">
        <is>
          <t>Mákos Guba (MM), 100g</t>
        </is>
      </c>
      <c r="B51" s="5" t="n">
        <v>6413584</v>
      </c>
      <c r="C51" s="5" t="n">
        <v>108</v>
      </c>
      <c r="D51" s="5" t="n"/>
      <c r="E51" s="5" t="n"/>
      <c r="F51" s="5" t="n"/>
      <c r="G51" s="5" t="n"/>
      <c r="H51" s="6">
        <f>E51+F51+G51</f>
        <v/>
      </c>
      <c r="I51" s="6">
        <f>IF(C51=0,"",ROUNDUP(H51/C51,0))</f>
        <v/>
      </c>
      <c r="J51" s="7">
        <f>IF(I51="","",ROUNDUP(I51*1.2,0))</f>
        <v/>
      </c>
      <c r="K51" s="8">
        <f>IF(I51="","",ROUNDUP(I51*1.3,0))</f>
        <v/>
      </c>
    </row>
    <row r="52">
      <c r="A52" s="4" t="inlineStr">
        <is>
          <t>Mákos bürkifli, 120g</t>
        </is>
      </c>
      <c r="B52" s="5" t="n">
        <v>6410947</v>
      </c>
      <c r="C52" s="5" t="n">
        <v>60</v>
      </c>
      <c r="D52" s="5" t="n"/>
      <c r="E52" s="5" t="n"/>
      <c r="F52" s="5" t="n"/>
      <c r="G52" s="5" t="n"/>
      <c r="H52" s="6">
        <f>E52+F52+G52</f>
        <v/>
      </c>
      <c r="I52" s="6">
        <f>IF(C52=0,"",ROUNDUP(H52/C52,0))</f>
        <v/>
      </c>
      <c r="J52" s="7">
        <f>IF(I52="","",ROUNDUP(I52*1.2,0))</f>
        <v/>
      </c>
      <c r="K52" s="8">
        <f>IF(I52="","",ROUNDUP(I52*1.3,0))</f>
        <v/>
      </c>
    </row>
    <row r="53">
      <c r="A53" s="4" t="inlineStr">
        <is>
          <t>Szilvás pur pur batyu, 100g</t>
        </is>
      </c>
      <c r="B53" s="5" t="n">
        <v>6410801</v>
      </c>
      <c r="C53" s="5" t="n">
        <v>60</v>
      </c>
      <c r="D53" s="5" t="n"/>
      <c r="E53" s="5" t="n"/>
      <c r="F53" s="5" t="n"/>
      <c r="G53" s="5" t="n"/>
      <c r="H53" s="6">
        <f>E53+F53+G53</f>
        <v/>
      </c>
      <c r="I53" s="6">
        <f>IF(C53=0,"",ROUNDUP(H53/C53,0))</f>
        <v/>
      </c>
      <c r="J53" s="7">
        <f>IF(I53="","",ROUNDUP(I53*1.2,0))</f>
        <v/>
      </c>
      <c r="K53" s="8">
        <f>IF(I53="","",ROUNDUP(I53*1.3,0))</f>
        <v/>
      </c>
    </row>
    <row r="54">
      <c r="A54" s="4" t="inlineStr">
        <is>
          <t>Betyár pogácsa, 77g</t>
        </is>
      </c>
      <c r="B54" s="5" t="n">
        <v>6410279</v>
      </c>
      <c r="C54" s="5" t="n">
        <v>84</v>
      </c>
      <c r="D54" s="5" t="n"/>
      <c r="E54" s="5" t="n"/>
      <c r="F54" s="5" t="n"/>
      <c r="G54" s="5" t="n"/>
      <c r="H54" s="6">
        <f>E54+F54+G54</f>
        <v/>
      </c>
      <c r="I54" s="6">
        <f>IF(C54=0,"",ROUNDUP(H54/C54,0))</f>
        <v/>
      </c>
      <c r="J54" s="7">
        <f>IF(I54="","",ROUNDUP(I54*1.2,0))</f>
        <v/>
      </c>
      <c r="K54" s="8">
        <f>IF(I54="","",ROUNDUP(I54*1.3,0))</f>
        <v/>
      </c>
    </row>
    <row r="55">
      <c r="A55" s="4" t="inlineStr">
        <is>
          <t>Kovászos krémsajtos-vajas pogácsa (FGY)</t>
        </is>
      </c>
      <c r="B55" s="5" t="n">
        <v>6415628</v>
      </c>
      <c r="C55" s="5" t="inlineStr">
        <is>
          <t>3 kg</t>
        </is>
      </c>
      <c r="D55" s="5" t="n"/>
      <c r="E55" s="5" t="n"/>
      <c r="F55" s="5" t="n"/>
      <c r="G55" s="5" t="n"/>
      <c r="H55" s="6">
        <f>E55+F55+G55</f>
        <v/>
      </c>
      <c r="I55" s="6">
        <f>IF(C55=0,"",ROUNDUP(H55/C55,0))</f>
        <v/>
      </c>
      <c r="J55" s="7">
        <f>IF(I55="","",ROUNDUP(I55*1.2,0))</f>
        <v/>
      </c>
      <c r="K55" s="8">
        <f>IF(I55="","",ROUNDUP(I55*1.3,0))</f>
        <v/>
      </c>
    </row>
    <row r="56">
      <c r="A56" s="4" t="inlineStr">
        <is>
          <t>Jalapenos-sajtkremes csiga, 95g</t>
        </is>
      </c>
      <c r="B56" s="5" t="n">
        <v>6407147</v>
      </c>
      <c r="C56" s="5" t="n">
        <v>60</v>
      </c>
      <c r="D56" s="5" t="n"/>
      <c r="E56" s="5" t="n"/>
      <c r="F56" s="5" t="n"/>
      <c r="G56" s="5" t="n"/>
      <c r="H56" s="6">
        <f>E56+F56+G56</f>
        <v/>
      </c>
      <c r="I56" s="6">
        <f>IF(C56=0,"",ROUNDUP(H56/C56,0))</f>
        <v/>
      </c>
      <c r="J56" s="7">
        <f>IF(I56="","",ROUNDUP(I56*1.2,0))</f>
        <v/>
      </c>
      <c r="K56" s="8">
        <f>IF(I56="","",ROUNDUP(I56*1.3,0))</f>
        <v/>
      </c>
    </row>
    <row r="57">
      <c r="A57" s="4" t="inlineStr">
        <is>
          <t>Hazánk Kincsei Gyulai kolbászos csípős tekercs, 65g (FGY)</t>
        </is>
      </c>
      <c r="B57" s="5" t="n">
        <v>6407790</v>
      </c>
      <c r="C57" s="5" t="n">
        <v>60</v>
      </c>
      <c r="D57" s="5" t="n"/>
      <c r="E57" s="5" t="n"/>
      <c r="F57" s="5" t="n"/>
      <c r="G57" s="5" t="n"/>
      <c r="H57" s="6">
        <f>E57+F57+G57</f>
        <v/>
      </c>
      <c r="I57" s="6">
        <f>IF(C57=0,"",ROUNDUP(H57/C57,0))</f>
        <v/>
      </c>
      <c r="J57" s="7">
        <f>IF(I57="","",ROUNDUP(I57*1.2,0))</f>
        <v/>
      </c>
      <c r="K57" s="8">
        <f>IF(I57="","",ROUNDUP(I57*1.3,0))</f>
        <v/>
      </c>
    </row>
    <row r="58">
      <c r="A58" s="4" t="inlineStr">
        <is>
          <t>Sajtkremes zöldfűszeres tekercs, (FGY) 65g</t>
        </is>
      </c>
      <c r="B58" s="5" t="n">
        <v>6413573</v>
      </c>
      <c r="C58" s="5" t="n">
        <v>60</v>
      </c>
      <c r="D58" s="5" t="n"/>
      <c r="E58" s="5" t="n"/>
      <c r="F58" s="5" t="n"/>
      <c r="G58" s="5" t="n"/>
      <c r="H58" s="6">
        <f>E58+F58+G58</f>
        <v/>
      </c>
      <c r="I58" s="6">
        <f>IF(C58=0,"",ROUNDUP(H58/C58,0))</f>
        <v/>
      </c>
      <c r="J58" s="7">
        <f>IF(I58="","",ROUNDUP(I58*1.2,0))</f>
        <v/>
      </c>
      <c r="K58" s="8">
        <f>IF(I58="","",ROUNDUP(I58*1.3,0))</f>
        <v/>
      </c>
    </row>
    <row r="59">
      <c r="A59" s="4" t="inlineStr">
        <is>
          <t>Baconos kenyérlángos (MM), 150g</t>
        </is>
      </c>
      <c r="B59" s="5" t="n">
        <v>6413366</v>
      </c>
      <c r="C59" s="5" t="n">
        <v>48</v>
      </c>
      <c r="D59" s="5" t="n"/>
      <c r="E59" s="5" t="n"/>
      <c r="F59" s="5" t="n"/>
      <c r="G59" s="5" t="n"/>
      <c r="H59" s="6">
        <f>E59+F59+G59</f>
        <v/>
      </c>
      <c r="I59" s="6">
        <f>IF(C59=0,"",ROUNDUP(H59/C59,0))</f>
        <v/>
      </c>
      <c r="J59" s="7">
        <f>IF(I59="","",ROUNDUP(I59*1.2,0))</f>
        <v/>
      </c>
      <c r="K59" s="8">
        <f>IF(I59="","",ROUNDUP(I59*1.3,0))</f>
        <v/>
      </c>
    </row>
    <row r="60">
      <c r="A60" s="4" t="inlineStr">
        <is>
          <t>Sonkás pizza, 150g (MM)</t>
        </is>
      </c>
      <c r="B60" s="5" t="n">
        <v>6418108</v>
      </c>
      <c r="C60" s="5" t="n">
        <v>48</v>
      </c>
      <c r="D60" s="5" t="n"/>
      <c r="E60" s="5" t="n"/>
      <c r="F60" s="5" t="n"/>
      <c r="G60" s="5" t="n"/>
      <c r="H60" s="6">
        <f>E60+F60+G60</f>
        <v/>
      </c>
      <c r="I60" s="6">
        <f>IF(C60=0,"",ROUNDUP(H60/C60,0))</f>
        <v/>
      </c>
      <c r="J60" s="7">
        <f>IF(I60="","",ROUNDUP(I60*1.2,0))</f>
        <v/>
      </c>
      <c r="K60" s="8">
        <f>IF(I60="","",ROUNDUP(I60*1.3,0))</f>
        <v/>
      </c>
    </row>
    <row r="61">
      <c r="A61" s="4" t="inlineStr">
        <is>
          <t>Sonkás-goudás buci, 90g</t>
        </is>
      </c>
      <c r="B61" s="5" t="n">
        <v>6411087</v>
      </c>
      <c r="C61" s="5" t="n">
        <v>72</v>
      </c>
      <c r="D61" s="5" t="n"/>
      <c r="E61" s="5" t="n"/>
      <c r="F61" s="5" t="n"/>
      <c r="G61" s="5" t="n"/>
      <c r="H61" s="6">
        <f>E61+F61+G61</f>
        <v/>
      </c>
      <c r="I61" s="6">
        <f>IF(C61=0,"",ROUNDUP(H61/C61,0))</f>
        <v/>
      </c>
      <c r="J61" s="7">
        <f>IF(I61="","",ROUNDUP(I61*1.2,0))</f>
        <v/>
      </c>
      <c r="K61" s="8">
        <f>IF(I61="","",ROUNDUP(I61*1.3,0))</f>
        <v/>
      </c>
    </row>
    <row r="62">
      <c r="A62" s="4" t="inlineStr">
        <is>
          <t>Bőrek stangli spenóttal és sajtal (FGY), 90g</t>
        </is>
      </c>
      <c r="B62" s="5" t="n">
        <v>6205048</v>
      </c>
      <c r="C62" s="5" t="n">
        <v>100</v>
      </c>
      <c r="D62" s="5" t="n"/>
      <c r="E62" s="5" t="n"/>
      <c r="F62" s="5" t="n"/>
      <c r="G62" s="5" t="n"/>
      <c r="H62" s="6">
        <f>E62+F62+G62</f>
        <v/>
      </c>
      <c r="I62" s="6">
        <f>IF(C62=0,"",ROUNDUP(H62/C62,0))</f>
        <v/>
      </c>
      <c r="J62" s="7">
        <f>IF(I62="","",ROUNDUP(I62*1.2,0))</f>
        <v/>
      </c>
      <c r="K62" s="8">
        <f>IF(I62="","",ROUNDUP(I62*1.3,0))</f>
        <v/>
      </c>
    </row>
    <row r="63">
      <c r="A63" s="4" t="inlineStr">
        <is>
          <t>Sertésvirslis párna, 100g (FGY)</t>
        </is>
      </c>
      <c r="B63" s="5" t="n">
        <v>6413595</v>
      </c>
      <c r="C63" s="5" t="n">
        <v>84</v>
      </c>
      <c r="D63" s="5" t="n"/>
      <c r="E63" s="5" t="n"/>
      <c r="F63" s="5" t="n"/>
      <c r="G63" s="5" t="n"/>
      <c r="H63" s="6">
        <f>E63+F63+G63</f>
        <v/>
      </c>
      <c r="I63" s="6">
        <f>IF(C63=0,"",ROUNDUP(H63/C63,0))</f>
        <v/>
      </c>
      <c r="J63" s="7">
        <f>IF(I63="","",ROUNDUP(I63*1.2,0))</f>
        <v/>
      </c>
      <c r="K63" s="8">
        <f>IF(I63="","",ROUNDUP(I63*1.3,0))</f>
        <v/>
      </c>
    </row>
    <row r="64">
      <c r="A64" s="4" t="inlineStr">
        <is>
          <t>Medve sajtos párna, 90g (FGY)</t>
        </is>
      </c>
      <c r="B64" s="5" t="n">
        <v>6413318</v>
      </c>
      <c r="C64" s="5" t="n">
        <v>84</v>
      </c>
      <c r="D64" s="5" t="n"/>
      <c r="E64" s="5" t="n"/>
      <c r="F64" s="5" t="n"/>
      <c r="G64" s="5" t="n"/>
      <c r="H64" s="6">
        <f>E64+F64+G64</f>
        <v/>
      </c>
      <c r="I64" s="6">
        <f>IF(C64=0,"",ROUNDUP(H64/C64,0))</f>
        <v/>
      </c>
      <c r="J64" s="7">
        <f>IF(I64="","",ROUNDUP(I64*1.2,0))</f>
        <v/>
      </c>
      <c r="K64" s="8">
        <f>IF(I64="","",ROUNDUP(I64*1.3,0))</f>
        <v/>
      </c>
    </row>
    <row r="65">
      <c r="A65" s="4" t="inlineStr">
        <is>
          <t>Gyros párna 90g (FGY)</t>
        </is>
      </c>
      <c r="B65" s="5" t="n">
        <v>6413436</v>
      </c>
      <c r="C65" s="5" t="n">
        <v>96</v>
      </c>
      <c r="D65" s="5" t="n"/>
      <c r="E65" s="5" t="n"/>
      <c r="F65" s="5" t="n"/>
      <c r="G65" s="5" t="n"/>
      <c r="H65" s="6">
        <f>E65+F65+G65</f>
        <v/>
      </c>
      <c r="I65" s="6">
        <f>IF(C65=0,"",ROUNDUP(H65/C65,0))</f>
        <v/>
      </c>
      <c r="J65" s="7">
        <f>IF(I65="","",ROUNDUP(I65*1.2,0))</f>
        <v/>
      </c>
      <c r="K65" s="8">
        <f>IF(I65="","",ROUNDUP(I65*1.3,0))</f>
        <v/>
      </c>
    </row>
    <row r="66">
      <c r="A66" s="4" t="inlineStr">
        <is>
          <t>Bolognai párna, 100g (FGY)</t>
        </is>
      </c>
      <c r="B66" s="5" t="n">
        <v>6413176</v>
      </c>
      <c r="C66" s="5" t="n">
        <v>72</v>
      </c>
      <c r="D66" s="5" t="n"/>
      <c r="E66" s="5" t="n"/>
      <c r="F66" s="5" t="n"/>
      <c r="G66" s="5" t="n"/>
      <c r="H66" s="6">
        <f>E66+F66+G66</f>
        <v/>
      </c>
      <c r="I66" s="6">
        <f>IF(C66=0,"",ROUNDUP(H66/C66,0))</f>
        <v/>
      </c>
      <c r="J66" s="7">
        <f>IF(I66="","",ROUNDUP(I66*1.2,0))</f>
        <v/>
      </c>
      <c r="K66" s="8">
        <f>IF(I66="","",ROUNDUP(I66*1.3,0))</f>
        <v/>
      </c>
    </row>
    <row r="67">
      <c r="A67" s="4" t="inlineStr">
        <is>
          <t>Pizzás-sonkás háromszög, (FGY) 90g</t>
        </is>
      </c>
      <c r="B67" s="5" t="n">
        <v>6411796</v>
      </c>
      <c r="C67" s="5" t="n">
        <v>96</v>
      </c>
      <c r="D67" s="5" t="n"/>
      <c r="E67" s="5" t="n"/>
      <c r="F67" s="5" t="n"/>
      <c r="G67" s="5" t="n"/>
      <c r="H67" s="6">
        <f>E67+F67+G67</f>
        <v/>
      </c>
      <c r="I67" s="6">
        <f>IF(C67=0,"",ROUNDUP(H67/C67,0))</f>
        <v/>
      </c>
      <c r="J67" s="7">
        <f>IF(I67="","",ROUNDUP(I67*1.2,0))</f>
        <v/>
      </c>
      <c r="K67" s="8">
        <f>IF(I67="","",ROUNDUP(I67*1.3,0))</f>
        <v/>
      </c>
    </row>
    <row r="68">
      <c r="A68" s="4" t="inlineStr">
        <is>
          <t>Sajtos snack rúd, 95g</t>
        </is>
      </c>
      <c r="B68" s="5" t="n">
        <v>6407996</v>
      </c>
      <c r="C68" s="5" t="n">
        <v>60</v>
      </c>
      <c r="D68" s="5" t="n"/>
      <c r="E68" s="5" t="n"/>
      <c r="F68" s="5" t="n"/>
      <c r="G68" s="5" t="n"/>
      <c r="H68" s="6">
        <f>E68+F68+G68</f>
        <v/>
      </c>
      <c r="I68" s="6">
        <f>IF(C68=0,"",ROUNDUP(H68/C68,0))</f>
        <v/>
      </c>
      <c r="J68" s="7">
        <f>IF(I68="","",ROUNDUP(I68*1.2,0))</f>
        <v/>
      </c>
      <c r="K68" s="8">
        <f>IF(I68="","",ROUNDUP(I68*1.3,0))</f>
        <v/>
      </c>
    </row>
    <row r="69">
      <c r="A69" s="4" t="inlineStr">
        <is>
          <t>Buci, (MM) 65g</t>
        </is>
      </c>
      <c r="B69" s="5" t="n">
        <v>6412051</v>
      </c>
      <c r="C69" s="5" t="n">
        <v>72</v>
      </c>
      <c r="D69" s="5" t="n"/>
      <c r="E69" s="5" t="n"/>
      <c r="F69" s="5" t="n"/>
      <c r="G69" s="5" t="n"/>
      <c r="H69" s="6">
        <f>E69+F69+G69</f>
        <v/>
      </c>
      <c r="I69" s="6">
        <f>IF(C69=0,"",ROUNDUP(H69/C69,0))</f>
        <v/>
      </c>
      <c r="J69" s="7">
        <f>IF(I69="","",ROUNDUP(I69*1.2,0))</f>
        <v/>
      </c>
      <c r="K69" s="8">
        <f>IF(I69="","",ROUNDUP(I69*1.3,0))</f>
        <v/>
      </c>
    </row>
    <row r="70">
      <c r="A70" s="4" t="inlineStr">
        <is>
          <t>Light kocka szénhidrátcsökkentett, 250g (MM)</t>
        </is>
      </c>
      <c r="B70" s="5" t="n">
        <v>6415780</v>
      </c>
      <c r="C70" s="5" t="n">
        <v>30</v>
      </c>
      <c r="D70" s="5" t="n"/>
      <c r="E70" s="5" t="n"/>
      <c r="F70" s="5" t="n"/>
      <c r="G70" s="5" t="n"/>
      <c r="H70" s="6">
        <f>E70+F70+G70</f>
        <v/>
      </c>
      <c r="I70" s="6">
        <f>IF(C70=0,"",ROUNDUP(H70/C70,0))</f>
        <v/>
      </c>
      <c r="J70" s="7">
        <f>IF(I70="","",ROUNDUP(I70*1.2,0))</f>
        <v/>
      </c>
      <c r="K70" s="8">
        <f>IF(I70="","",ROUNDUP(I70*1.3,0))</f>
        <v/>
      </c>
    </row>
    <row r="71">
      <c r="A71" s="4" t="inlineStr">
        <is>
          <t>Kovászos búzakenyér (MM), 500g</t>
        </is>
      </c>
      <c r="B71" s="5" t="n">
        <v>227379</v>
      </c>
      <c r="C71" s="5" t="n">
        <v>16</v>
      </c>
      <c r="D71" s="5" t="n"/>
      <c r="E71" s="5" t="n"/>
      <c r="F71" s="5" t="n"/>
      <c r="G71" s="5" t="n"/>
      <c r="H71" s="6">
        <f>E71+F71+G71</f>
        <v/>
      </c>
      <c r="I71" s="6">
        <f>IF(C71=0,"",ROUNDUP(H71/C71,0))</f>
        <v/>
      </c>
      <c r="J71" s="7">
        <f>IF(I71="","",ROUNDUP(I71*1.2,0))</f>
        <v/>
      </c>
      <c r="K71" s="8">
        <f>IF(I71="","",ROUNDUP(I71*1.3,0))</f>
        <v/>
      </c>
    </row>
    <row r="72">
      <c r="A72" s="4" t="inlineStr">
        <is>
          <t>Meggyes-mákos rétes, 105g (MM)</t>
        </is>
      </c>
      <c r="B72" s="5" t="n">
        <v>6412286</v>
      </c>
      <c r="C72" s="5" t="n">
        <v>84</v>
      </c>
      <c r="D72" s="5" t="n"/>
      <c r="E72" s="5" t="n"/>
      <c r="F72" s="5" t="n"/>
      <c r="G72" s="5" t="n"/>
      <c r="H72" s="6">
        <f>E72+F72+G72</f>
        <v/>
      </c>
      <c r="I72" s="6">
        <f>IF(C72=0,"",ROUNDUP(H72/C72,0))</f>
        <v/>
      </c>
      <c r="J72" s="7">
        <f>IF(I72="","",ROUNDUP(I72*1.2,0))</f>
        <v/>
      </c>
      <c r="K72" s="8">
        <f>IF(I72="","",ROUNDUP(I72*1.3,0))</f>
        <v/>
      </c>
    </row>
    <row r="73">
      <c r="A73" s="4" t="inlineStr">
        <is>
          <t>Lepénykenyér, 100g (FGY)</t>
        </is>
      </c>
      <c r="B73" s="5" t="n">
        <v>9002360</v>
      </c>
      <c r="C73" s="5" t="n">
        <v>55</v>
      </c>
      <c r="D73" s="5" t="n"/>
      <c r="E73" s="5" t="n"/>
      <c r="F73" s="5" t="n"/>
      <c r="G73" s="5" t="n"/>
      <c r="H73" s="6">
        <f>E73+F73+G73</f>
        <v/>
      </c>
      <c r="I73" s="6">
        <f>IF(C73=0,"",ROUNDUP(H73/C73,0))</f>
        <v/>
      </c>
      <c r="J73" s="7">
        <f>IF(I73="","",ROUNDUP(I73*1.2,0))</f>
        <v/>
      </c>
      <c r="K73" s="8">
        <f>IF(I73="","",ROUNDUP(I73*1.3,0))</f>
        <v/>
      </c>
    </row>
    <row r="74">
      <c r="A74" s="4" t="inlineStr">
        <is>
          <t>Mediterrán ciabatta, fehér, 300g</t>
        </is>
      </c>
      <c r="B74" s="5" t="n">
        <v>4118</v>
      </c>
      <c r="C74" s="5" t="n">
        <v>25</v>
      </c>
      <c r="D74" s="5" t="n"/>
      <c r="E74" s="5" t="n"/>
      <c r="F74" s="5" t="n"/>
      <c r="G74" s="5" t="n"/>
      <c r="H74" s="6">
        <f>E74+F74+G74</f>
        <v/>
      </c>
      <c r="I74" s="6">
        <f>IF(C74=0,"",ROUNDUP(H74/C74,0))</f>
        <v/>
      </c>
      <c r="J74" s="7">
        <f>IF(I74="","",ROUNDUP(I74*1.2,0))</f>
        <v/>
      </c>
      <c r="K74" s="8">
        <f>IF(I74="","",ROUNDUP(I74*1.3,0))</f>
        <v/>
      </c>
    </row>
    <row r="75">
      <c r="A75" s="4" t="inlineStr">
        <is>
          <t>Mediterrán ciabatta olívás, 300g (MM)</t>
        </is>
      </c>
      <c r="B75" s="5" t="n">
        <v>6400362</v>
      </c>
      <c r="C75" s="5" t="n">
        <v>30</v>
      </c>
      <c r="D75" s="5" t="n"/>
      <c r="E75" s="5" t="n"/>
      <c r="F75" s="5" t="n"/>
      <c r="G75" s="5" t="n"/>
      <c r="H75" s="6">
        <f>E75+F75+G75</f>
        <v/>
      </c>
      <c r="I75" s="6">
        <f>IF(C75=0,"",ROUNDUP(H75/C75,0))</f>
        <v/>
      </c>
      <c r="J75" s="7">
        <f>IF(I75="","",ROUNDUP(I75*1.2,0))</f>
        <v/>
      </c>
      <c r="K75" s="8">
        <f>IF(I75="","",ROUNDUP(I75*1.3,0))</f>
        <v/>
      </c>
    </row>
    <row r="78">
      <c r="A78" s="9" t="inlineStr">
        <is>
          <t>HASZNÁLATI ÚTMUTATÓ:</t>
        </is>
      </c>
    </row>
    <row r="79">
      <c r="A79" s="10" t="inlineStr">
        <is>
          <t>✅ Mind a 71 termék előre be van töltve (A-C oszlopok)!</t>
        </is>
      </c>
    </row>
    <row r="80">
      <c r="A80" s="10" t="inlineStr">
        <is>
          <t>📝 ELŐSZÖR: Töltsd ki a D oszlopot (PLU) a napi riportokból!</t>
        </is>
      </c>
    </row>
    <row r="81">
      <c r="A81" s="10" t="inlineStr">
        <is>
          <t>🔢 MAJD TÖLTSD KI (E-G oszlopokat) - Claude automatikusan párosít PLU alapján:</t>
        </is>
      </c>
    </row>
    <row r="82">
      <c r="A82" s="10" t="inlineStr">
        <is>
          <t xml:space="preserve">   - E oszlop: Péntek teljes napi eladás (darabban)</t>
        </is>
      </c>
    </row>
    <row r="83">
      <c r="A83" s="10" t="inlineStr">
        <is>
          <t xml:space="preserve">   - F oszlop: Szombat teljes napi eladás (darabban)</t>
        </is>
      </c>
    </row>
    <row r="84">
      <c r="A84" s="10" t="inlineStr">
        <is>
          <t xml:space="preserve">   - G oszlop: Vasárnap teljes napi eladás (darabban)</t>
        </is>
      </c>
    </row>
    <row r="85">
      <c r="A85" s="10" t="inlineStr">
        <is>
          <t>📊 AUTOMATIKUS SZÁMÍTÁSOK (H-K oszlopok):</t>
        </is>
      </c>
    </row>
    <row r="86">
      <c r="A86" s="10" t="inlineStr">
        <is>
          <t xml:space="preserve">   • H oszlop = Összes fogyás a 3 napos kritikus időszakban</t>
        </is>
      </c>
    </row>
    <row r="87">
      <c r="A87" s="10" t="inlineStr">
        <is>
          <t xml:space="preserve">   • I oszlop = Minimum hány karton szükséges</t>
        </is>
      </c>
    </row>
    <row r="88">
      <c r="A88" s="10" t="inlineStr">
        <is>
          <t xml:space="preserve">   • J oszlop = Ajánlott készlet (+20% biztonsági tartalék) ← AJÁNLOTT!</t>
        </is>
      </c>
    </row>
    <row r="89">
      <c r="A89" s="10" t="inlineStr">
        <is>
          <t xml:space="preserve">   • K oszlop = Biztonságos készlet (+30% biztonsági tartalék)</t>
        </is>
      </c>
    </row>
    <row r="90">
      <c r="A90" s="10" t="inlineStr">
        <is>
          <t>⚠️ FONTOS:</t>
        </is>
      </c>
    </row>
    <row r="91">
      <c r="A91" s="10" t="inlineStr">
        <is>
          <t xml:space="preserve">   • A PLU oszlopot (D) használom a riportokkal való párosításhoz!</t>
        </is>
      </c>
    </row>
    <row r="92">
      <c r="A92" s="10" t="inlineStr">
        <is>
          <t xml:space="preserve">   • A kovászos krémsajtos pogácsa kg-ban van mérve!</t>
        </is>
      </c>
    </row>
    <row r="93">
      <c r="A93" s="10" t="inlineStr">
        <is>
          <t>📦 Összesen 71 termék a kamrában!</t>
        </is>
      </c>
    </row>
    <row r="94">
      <c r="A94" s="10" t="inlineStr">
        <is>
          <t xml:space="preserve">   • A kovászos krémsajtos pogácsa kg-ban van mérve - ezt manuálisan kell számolni!</t>
        </is>
      </c>
    </row>
    <row r="95">
      <c r="A95" s="10" t="inlineStr">
        <is>
          <t xml:space="preserve">   • A többi termék kartonban van megadva (db/karton)</t>
        </is>
      </c>
    </row>
    <row r="96">
      <c r="A96" s="10" t="inlineStr"/>
    </row>
    <row r="97">
      <c r="A97" s="10" t="inlineStr">
        <is>
          <t>📦 Összesen 71 termék a kamrában!</t>
        </is>
      </c>
    </row>
  </sheetData>
  <mergeCells count="22">
    <mergeCell ref="A83:K83"/>
    <mergeCell ref="A92:K92"/>
    <mergeCell ref="A82:K82"/>
    <mergeCell ref="A1:K1"/>
    <mergeCell ref="A94:K94"/>
    <mergeCell ref="A79:K79"/>
    <mergeCell ref="A88:K88"/>
    <mergeCell ref="A78:K78"/>
    <mergeCell ref="A87:K87"/>
    <mergeCell ref="A84:K84"/>
    <mergeCell ref="A90:K90"/>
    <mergeCell ref="A80:K80"/>
    <mergeCell ref="A89:K89"/>
    <mergeCell ref="A86:K86"/>
    <mergeCell ref="A95:K95"/>
    <mergeCell ref="A2:K2"/>
    <mergeCell ref="A85:K85"/>
    <mergeCell ref="A91:K91"/>
    <mergeCell ref="A97:K97"/>
    <mergeCell ref="A96:K96"/>
    <mergeCell ref="A81:K81"/>
    <mergeCell ref="A93:K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2026-01-31T20:37:26Z</dcterms:created>
  <dcterms:modified xmlns:dcterms="http://purl.org/dc/terms/" xmlns:xsi="http://www.w3.org/2001/XMLSchema-instance" xsi:type="dcterms:W3CDTF">2026-02-03T02:58:16Z</dcterms:modified>
</cp:coreProperties>
</file>