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balu\Downloads\"/>
    </mc:Choice>
  </mc:AlternateContent>
  <xr:revisionPtr revIDLastSave="0" documentId="13_ncr:1_{21510D1E-8C3D-47A2-B082-03B7F493B2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ke-off Kalkulá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" i="1" l="1"/>
  <c r="I75" i="1" s="1"/>
  <c r="H74" i="1"/>
  <c r="I74" i="1" s="1"/>
  <c r="J74" i="1" s="1"/>
  <c r="H73" i="1"/>
  <c r="I73" i="1" s="1"/>
  <c r="H72" i="1"/>
  <c r="I72" i="1" s="1"/>
  <c r="K72" i="1" s="1"/>
  <c r="H71" i="1"/>
  <c r="I71" i="1" s="1"/>
  <c r="H70" i="1"/>
  <c r="I70" i="1" s="1"/>
  <c r="H69" i="1"/>
  <c r="I69" i="1" s="1"/>
  <c r="H68" i="1"/>
  <c r="I68" i="1" s="1"/>
  <c r="K68" i="1" s="1"/>
  <c r="H67" i="1"/>
  <c r="I67" i="1" s="1"/>
  <c r="H66" i="1"/>
  <c r="I66" i="1" s="1"/>
  <c r="H65" i="1"/>
  <c r="I65" i="1" s="1"/>
  <c r="J65" i="1" s="1"/>
  <c r="H64" i="1"/>
  <c r="I64" i="1" s="1"/>
  <c r="J64" i="1" s="1"/>
  <c r="H63" i="1"/>
  <c r="I63" i="1" s="1"/>
  <c r="H62" i="1"/>
  <c r="I62" i="1" s="1"/>
  <c r="H61" i="1"/>
  <c r="I61" i="1" s="1"/>
  <c r="J61" i="1" s="1"/>
  <c r="I60" i="1"/>
  <c r="K60" i="1" s="1"/>
  <c r="H60" i="1"/>
  <c r="H59" i="1"/>
  <c r="I59" i="1" s="1"/>
  <c r="H58" i="1"/>
  <c r="I58" i="1" s="1"/>
  <c r="H57" i="1"/>
  <c r="I57" i="1" s="1"/>
  <c r="J57" i="1" s="1"/>
  <c r="H56" i="1"/>
  <c r="I56" i="1" s="1"/>
  <c r="K56" i="1" s="1"/>
  <c r="H55" i="1"/>
  <c r="I55" i="1" s="1"/>
  <c r="K55" i="1" s="1"/>
  <c r="H54" i="1"/>
  <c r="I54" i="1" s="1"/>
  <c r="H53" i="1"/>
  <c r="I53" i="1" s="1"/>
  <c r="J53" i="1" s="1"/>
  <c r="H52" i="1"/>
  <c r="I52" i="1" s="1"/>
  <c r="J52" i="1" s="1"/>
  <c r="H51" i="1"/>
  <c r="I51" i="1" s="1"/>
  <c r="H50" i="1"/>
  <c r="I50" i="1" s="1"/>
  <c r="H49" i="1"/>
  <c r="I49" i="1" s="1"/>
  <c r="J49" i="1" s="1"/>
  <c r="H48" i="1"/>
  <c r="I48" i="1" s="1"/>
  <c r="K48" i="1" s="1"/>
  <c r="H47" i="1"/>
  <c r="I47" i="1" s="1"/>
  <c r="H46" i="1"/>
  <c r="I46" i="1" s="1"/>
  <c r="H45" i="1"/>
  <c r="I45" i="1" s="1"/>
  <c r="J45" i="1" s="1"/>
  <c r="H44" i="1"/>
  <c r="I44" i="1" s="1"/>
  <c r="K44" i="1" s="1"/>
  <c r="H43" i="1"/>
  <c r="I43" i="1" s="1"/>
  <c r="H42" i="1"/>
  <c r="I42" i="1" s="1"/>
  <c r="H41" i="1"/>
  <c r="I41" i="1" s="1"/>
  <c r="J41" i="1" s="1"/>
  <c r="H40" i="1"/>
  <c r="I40" i="1" s="1"/>
  <c r="K40" i="1" s="1"/>
  <c r="H39" i="1"/>
  <c r="I39" i="1" s="1"/>
  <c r="H38" i="1"/>
  <c r="I38" i="1" s="1"/>
  <c r="H37" i="1"/>
  <c r="I37" i="1" s="1"/>
  <c r="J37" i="1" s="1"/>
  <c r="H36" i="1"/>
  <c r="I36" i="1" s="1"/>
  <c r="K36" i="1" s="1"/>
  <c r="H35" i="1"/>
  <c r="I35" i="1" s="1"/>
  <c r="H34" i="1"/>
  <c r="I34" i="1" s="1"/>
  <c r="J34" i="1" s="1"/>
  <c r="H33" i="1"/>
  <c r="I33" i="1" s="1"/>
  <c r="J33" i="1" s="1"/>
  <c r="H32" i="1"/>
  <c r="I32" i="1" s="1"/>
  <c r="J32" i="1" s="1"/>
  <c r="H31" i="1"/>
  <c r="I31" i="1" s="1"/>
  <c r="H30" i="1"/>
  <c r="I30" i="1" s="1"/>
  <c r="H29" i="1"/>
  <c r="I29" i="1" s="1"/>
  <c r="J29" i="1" s="1"/>
  <c r="H28" i="1"/>
  <c r="I28" i="1" s="1"/>
  <c r="K28" i="1" s="1"/>
  <c r="H27" i="1"/>
  <c r="I27" i="1" s="1"/>
  <c r="H26" i="1"/>
  <c r="I26" i="1" s="1"/>
  <c r="H25" i="1"/>
  <c r="I25" i="1" s="1"/>
  <c r="J25" i="1" s="1"/>
  <c r="H24" i="1"/>
  <c r="I24" i="1" s="1"/>
  <c r="K24" i="1" s="1"/>
  <c r="H23" i="1"/>
  <c r="I23" i="1" s="1"/>
  <c r="H22" i="1"/>
  <c r="I22" i="1" s="1"/>
  <c r="H21" i="1"/>
  <c r="I21" i="1" s="1"/>
  <c r="J21" i="1" s="1"/>
  <c r="H20" i="1"/>
  <c r="I20" i="1" s="1"/>
  <c r="K20" i="1" s="1"/>
  <c r="H19" i="1"/>
  <c r="I19" i="1" s="1"/>
  <c r="H18" i="1"/>
  <c r="I18" i="1" s="1"/>
  <c r="H17" i="1"/>
  <c r="I17" i="1" s="1"/>
  <c r="J17" i="1" s="1"/>
  <c r="H16" i="1"/>
  <c r="I16" i="1" s="1"/>
  <c r="K16" i="1" s="1"/>
  <c r="H15" i="1"/>
  <c r="I15" i="1" s="1"/>
  <c r="H14" i="1"/>
  <c r="I14" i="1" s="1"/>
  <c r="H13" i="1"/>
  <c r="I13" i="1" s="1"/>
  <c r="J13" i="1" s="1"/>
  <c r="H12" i="1"/>
  <c r="I12" i="1" s="1"/>
  <c r="K12" i="1" s="1"/>
  <c r="H11" i="1"/>
  <c r="I11" i="1" s="1"/>
  <c r="H10" i="1"/>
  <c r="I10" i="1" s="1"/>
  <c r="J10" i="1" s="1"/>
  <c r="H9" i="1"/>
  <c r="I9" i="1" s="1"/>
  <c r="J9" i="1" s="1"/>
  <c r="H8" i="1"/>
  <c r="I8" i="1" s="1"/>
  <c r="K8" i="1" s="1"/>
  <c r="H7" i="1"/>
  <c r="I7" i="1" s="1"/>
  <c r="H6" i="1"/>
  <c r="I6" i="1" s="1"/>
  <c r="H5" i="1"/>
  <c r="I5" i="1" s="1"/>
  <c r="J5" i="1" s="1"/>
  <c r="J46" i="1" l="1"/>
  <c r="K46" i="1"/>
  <c r="K74" i="1"/>
  <c r="K73" i="1"/>
  <c r="J73" i="1"/>
  <c r="J70" i="1"/>
  <c r="K70" i="1"/>
  <c r="K69" i="1"/>
  <c r="J69" i="1"/>
  <c r="J66" i="1"/>
  <c r="K66" i="1"/>
  <c r="J62" i="1"/>
  <c r="K62" i="1"/>
  <c r="J58" i="1"/>
  <c r="K58" i="1"/>
  <c r="J54" i="1"/>
  <c r="K54" i="1"/>
  <c r="J50" i="1"/>
  <c r="K50" i="1"/>
  <c r="J42" i="1"/>
  <c r="K42" i="1"/>
  <c r="J38" i="1"/>
  <c r="K38" i="1"/>
  <c r="K34" i="1"/>
  <c r="J30" i="1"/>
  <c r="K30" i="1"/>
  <c r="J26" i="1"/>
  <c r="K26" i="1"/>
  <c r="J22" i="1"/>
  <c r="K22" i="1"/>
  <c r="J18" i="1"/>
  <c r="K18" i="1"/>
  <c r="J14" i="1"/>
  <c r="K14" i="1"/>
  <c r="K10" i="1"/>
  <c r="J6" i="1"/>
  <c r="K6" i="1"/>
  <c r="K15" i="1"/>
  <c r="J15" i="1"/>
  <c r="K63" i="1"/>
  <c r="J63" i="1"/>
  <c r="K7" i="1"/>
  <c r="J7" i="1"/>
  <c r="K71" i="1"/>
  <c r="J71" i="1"/>
  <c r="K23" i="1"/>
  <c r="J23" i="1"/>
  <c r="K47" i="1"/>
  <c r="J47" i="1"/>
  <c r="K11" i="1"/>
  <c r="J11" i="1"/>
  <c r="K35" i="1"/>
  <c r="J35" i="1"/>
  <c r="K43" i="1"/>
  <c r="J43" i="1"/>
  <c r="K51" i="1"/>
  <c r="J51" i="1"/>
  <c r="K31" i="1"/>
  <c r="J31" i="1"/>
  <c r="K27" i="1"/>
  <c r="J27" i="1"/>
  <c r="K59" i="1"/>
  <c r="J59" i="1"/>
  <c r="K67" i="1"/>
  <c r="J67" i="1"/>
  <c r="K75" i="1"/>
  <c r="J75" i="1"/>
  <c r="K39" i="1"/>
  <c r="J39" i="1"/>
  <c r="K19" i="1"/>
  <c r="J19" i="1"/>
  <c r="J72" i="1"/>
  <c r="J8" i="1"/>
  <c r="J12" i="1"/>
  <c r="J16" i="1"/>
  <c r="J20" i="1"/>
  <c r="J24" i="1"/>
  <c r="J28" i="1"/>
  <c r="J36" i="1"/>
  <c r="J40" i="1"/>
  <c r="J44" i="1"/>
  <c r="J48" i="1"/>
  <c r="J56" i="1"/>
  <c r="J60" i="1"/>
  <c r="J68" i="1"/>
  <c r="K32" i="1"/>
  <c r="K52" i="1"/>
  <c r="K64" i="1"/>
  <c r="K5" i="1"/>
  <c r="K9" i="1"/>
  <c r="K13" i="1"/>
  <c r="K17" i="1"/>
  <c r="K21" i="1"/>
  <c r="K25" i="1"/>
  <c r="K29" i="1"/>
  <c r="K33" i="1"/>
  <c r="K37" i="1"/>
  <c r="K41" i="1"/>
  <c r="K45" i="1"/>
  <c r="K49" i="1"/>
  <c r="K53" i="1"/>
  <c r="K57" i="1"/>
  <c r="K61" i="1"/>
  <c r="K65" i="1"/>
  <c r="J55" i="1"/>
</calcChain>
</file>

<file path=xl/sharedStrings.xml><?xml version="1.0" encoding="utf-8"?>
<sst xmlns="http://schemas.openxmlformats.org/spreadsheetml/2006/main" count="100" uniqueCount="92">
  <si>
    <t>Termék neve</t>
  </si>
  <si>
    <t>Cikkszám</t>
  </si>
  <si>
    <t>Karton tartalom
(db/karton vagy kg)</t>
  </si>
  <si>
    <t>Péntek
teljes nap</t>
  </si>
  <si>
    <t>Szombat
teljes nap</t>
  </si>
  <si>
    <t>Vasárnap
teljes nap</t>
  </si>
  <si>
    <t>ÖSSZES FOGYÁS</t>
  </si>
  <si>
    <t>Szükséges
karton</t>
  </si>
  <si>
    <t>Francia Baguette, (FGY) 125g</t>
  </si>
  <si>
    <t>Burgonyás vekni kovásszal (MM), 420g</t>
  </si>
  <si>
    <t>Briós cukor szórattal, 65g</t>
  </si>
  <si>
    <t>Croustille (FGY), 250g</t>
  </si>
  <si>
    <t>Nosztalgia kifli (MM), 85g</t>
  </si>
  <si>
    <t>Nosztalgia kifli teljes kiőrlésű liszttel, 90g</t>
  </si>
  <si>
    <t>Olívás stangli, 80g (MM)</t>
  </si>
  <si>
    <t>Nosztalgia kifli, sajtal és növényi olajos specialitással szórt, 95g</t>
  </si>
  <si>
    <t>Pogácsa sajtal és növényi olajos specialitással szórt, 77g</t>
  </si>
  <si>
    <t>Kovászos cipó, 400g</t>
  </si>
  <si>
    <t>Sokmagvas cipó, 350g (MM)</t>
  </si>
  <si>
    <t>Nosztalgia Vekni Kovásszal, 330g (MM)</t>
  </si>
  <si>
    <t>Házi vekni, 500g (MM)</t>
  </si>
  <si>
    <t>Kovászos durum vekni, 400g (MM)</t>
  </si>
  <si>
    <t>Pilis Kovászos rozscipó, 400g (MM)</t>
  </si>
  <si>
    <t>Császárbuci, 55g</t>
  </si>
  <si>
    <t>Magvas császárbuci teljes kiőrlésű liszttel (MM), 65g</t>
  </si>
  <si>
    <t>Pur Pur Stangli, teljes kiőrlésű liszttel (MM) 90g</t>
  </si>
  <si>
    <t>Csokoládés croissant (MM), 100g</t>
  </si>
  <si>
    <t>Pizzás csiga, 100g (MM)</t>
  </si>
  <si>
    <t>Durum baguette (MM), 150g</t>
  </si>
  <si>
    <t>Vajas fonott kalács (MM), 250g</t>
  </si>
  <si>
    <t>Sajtos-sonkás croissant (MM), 95g</t>
  </si>
  <si>
    <t>Mogyorós töltött fánk, 68g (MM)</t>
  </si>
  <si>
    <t>Almás-fahéjas fánk, 62g (MM)</t>
  </si>
  <si>
    <t>Eperízű fánk színes szórással (MM), 53g</t>
  </si>
  <si>
    <t>Cookie Monster 60g (MM)</t>
  </si>
  <si>
    <t>Csokoládés fánk, csokoládé szórással, 56g (MM)</t>
  </si>
  <si>
    <t>Töltött fánk, 65g</t>
  </si>
  <si>
    <t>Belga csokoládés-meggyes párna, 90g</t>
  </si>
  <si>
    <t>Almás háromszög, 110g (MM)</t>
  </si>
  <si>
    <t>Túrós táska, 135g</t>
  </si>
  <si>
    <t>Sárgabarackos-túrós párna, 90g</t>
  </si>
  <si>
    <t>Csokoládés tekercs (FGY), 65g</t>
  </si>
  <si>
    <t>Dupla csokis párna, 90g (MM)</t>
  </si>
  <si>
    <t>Vajas croissant, 57g (MM)</t>
  </si>
  <si>
    <t>Pisztáciás kovászos croissant (MM), 80g</t>
  </si>
  <si>
    <t>Mogyorókrémes croissant (MM), 85g</t>
  </si>
  <si>
    <t>Mogyorós-tejkrémes croissant (MM), 90g</t>
  </si>
  <si>
    <t>Pekándiós párna (FGY), 81g</t>
  </si>
  <si>
    <t>Fahéjas csiga, 120g (MM)</t>
  </si>
  <si>
    <t>Vitajó aranygaluska csiga, 100g (MM)</t>
  </si>
  <si>
    <t>Fahéjas tekercs, 65g</t>
  </si>
  <si>
    <t>Kakaós csiga, 120g</t>
  </si>
  <si>
    <t>Túrós-csokis párna, 90g (MM)</t>
  </si>
  <si>
    <t>Kakaós csiga teljes kiőrlésű búzaliszttel, édesítőszerekkel, 100g</t>
  </si>
  <si>
    <t>Mákos Guba (MM), 100g</t>
  </si>
  <si>
    <t>Szilvás pur pur batyu, 100g</t>
  </si>
  <si>
    <t>Betyár pogácsa, 77g</t>
  </si>
  <si>
    <t>Kovászos krémsajtos-vajas pogácsa (FGY)</t>
  </si>
  <si>
    <t>3 kg</t>
  </si>
  <si>
    <t>Jalapenos-sajtkremes csiga, 95g</t>
  </si>
  <si>
    <t>Hazánk Kincsei Gyulai kolbászos csípős tekercs, 65g (FGY)</t>
  </si>
  <si>
    <t>Sajtkremes zöldfűszeres tekercs, (FGY) 65g</t>
  </si>
  <si>
    <t>Baconos kenyérlángos (MM), 150g</t>
  </si>
  <si>
    <t>Sonkás pizza, 150g (MM)</t>
  </si>
  <si>
    <t>Sonkás-goudás buci, 90g</t>
  </si>
  <si>
    <t>Bőrek stangli spenóttal és sajtal (FGY), 90g</t>
  </si>
  <si>
    <t>Sertésvirslis párna, 100g (FGY)</t>
  </si>
  <si>
    <t>Medve sajtos párna, 90g (FGY)</t>
  </si>
  <si>
    <t>Gyros párna 90g (FGY)</t>
  </si>
  <si>
    <t>Bolognai párna, 100g (FGY)</t>
  </si>
  <si>
    <t>Pizzás-sonkás háromszög, (FGY) 90g</t>
  </si>
  <si>
    <t>Sajtos snack rúd, 95g</t>
  </si>
  <si>
    <t>Buci, (MM) 65g</t>
  </si>
  <si>
    <t>Light kocka szénhidrátcsökkentett, 250g (MM)</t>
  </si>
  <si>
    <t>Kovászos búzakenyér (MM), 500g</t>
  </si>
  <si>
    <t>Meggyes-mákos rétes, 105g (MM)</t>
  </si>
  <si>
    <t>Lepénykenyér, 100g (FGY)</t>
  </si>
  <si>
    <t>Mediterrán ciabatta, fehér, 300g</t>
  </si>
  <si>
    <t>Mediterrán ciabatta olívás, 300g (MM)</t>
  </si>
  <si>
    <t>📦 Összesen 71 termék a kamrában!</t>
  </si>
  <si>
    <t xml:space="preserve">PLU
</t>
  </si>
  <si>
    <t>Mákos burkifli, 120g</t>
  </si>
  <si>
    <t>Akciós</t>
  </si>
  <si>
    <t>X(páros)22-28</t>
  </si>
  <si>
    <t>X 22-25</t>
  </si>
  <si>
    <t xml:space="preserve">Készlet +20%
</t>
  </si>
  <si>
    <t xml:space="preserve">Készlet +30%
</t>
  </si>
  <si>
    <t>2026.01.23-2026.01.25 adat</t>
  </si>
  <si>
    <t>Péntek-Vasárnap (3 teljes nap) | 71 termék</t>
  </si>
  <si>
    <t>Jelenlegi mpk</t>
  </si>
  <si>
    <t>1EP</t>
  </si>
  <si>
    <t>1DD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</si>
</sst>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2"/>
      <color rgb="FF002060"/>
      <name val="Calibri"/>
    </font>
    <font>
      <sz val="10"/>
      <name val="Calibri"/>
    </font>
    <font>
      <b/>
      <sz val="12"/>
      <color rgb="FFFFFFFF"/>
      <name val="Calibri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F2CC"/>
      </patternFill>
    </fill>
    <fill>
      <patternFill patternType="solid">
        <fgColor theme="5"/>
        <bgColor rgb="FFC6E0B4"/>
      </patternFill>
    </fill>
    <fill>
      <patternFill patternType="solid">
        <fgColor theme="5"/>
        <bgColor rgb="FFA9D0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pane ySplit="4" topLeftCell="A33" activePane="bottomLeft" state="frozen"/>
      <selection pane="bottomLeft" activeCell="M76" sqref="M76"/>
    </sheetView>
  </sheetViews>
  <sheetFormatPr defaultRowHeight="15" x14ac:dyDescent="0.25"/>
  <cols>
    <col min="1" max="1" width="40" customWidth="1"/>
    <col min="2" max="2" width="12" customWidth="1"/>
    <col min="3" max="4" width="15" customWidth="1"/>
    <col min="5" max="7" width="18" customWidth="1"/>
    <col min="8" max="8" width="20" customWidth="1"/>
    <col min="9" max="9" width="18" customWidth="1"/>
    <col min="10" max="11" width="22" customWidth="1"/>
    <col min="12" max="13" width="16.28515625" customWidth="1"/>
  </cols>
  <sheetData>
    <row r="1" spans="1:13" ht="30" customHeight="1" x14ac:dyDescent="0.25">
      <c r="A1" s="20" t="s">
        <v>87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21" t="s">
        <v>88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3" ht="45" customHeight="1" x14ac:dyDescent="0.25">
      <c r="A4" s="1" t="s">
        <v>0</v>
      </c>
      <c r="B4" s="1" t="s">
        <v>1</v>
      </c>
      <c r="C4" s="1" t="s">
        <v>2</v>
      </c>
      <c r="D4" s="7" t="s">
        <v>80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0" t="s">
        <v>85</v>
      </c>
      <c r="K4" s="10" t="s">
        <v>86</v>
      </c>
      <c r="L4" s="8" t="s">
        <v>82</v>
      </c>
      <c r="M4" s="8" t="s">
        <v>89</v>
      </c>
    </row>
    <row r="5" spans="1:13" x14ac:dyDescent="0.25">
      <c r="A5" s="2" t="s">
        <v>8</v>
      </c>
      <c r="B5" s="3">
        <v>6703867</v>
      </c>
      <c r="C5" s="3">
        <v>80</v>
      </c>
      <c r="D5" s="3">
        <v>800</v>
      </c>
      <c r="E5" s="3">
        <v>73</v>
      </c>
      <c r="F5" s="3">
        <v>40</v>
      </c>
      <c r="G5" s="3">
        <v>62</v>
      </c>
      <c r="H5" s="4">
        <f t="shared" ref="H5:H36" si="0">E5+F5+G5</f>
        <v>175</v>
      </c>
      <c r="I5" s="4">
        <f t="shared" ref="I5:I36" si="1">IF(C5=0,"",ROUNDUP(H5/C5,0))</f>
        <v>3</v>
      </c>
      <c r="J5" s="5">
        <f t="shared" ref="J5:J36" si="2">IF(I5="","",ROUNDUP(I5*1.2,0))</f>
        <v>4</v>
      </c>
      <c r="K5" s="11">
        <f t="shared" ref="K5:K36" si="3">IF(I5="","",ROUNDUP(I5*1.3,0))</f>
        <v>4</v>
      </c>
      <c r="L5" s="3"/>
      <c r="M5" s="3">
        <v>4</v>
      </c>
    </row>
    <row r="6" spans="1:13" x14ac:dyDescent="0.25">
      <c r="A6" s="2" t="s">
        <v>9</v>
      </c>
      <c r="B6" s="3">
        <v>6416941</v>
      </c>
      <c r="C6" s="3">
        <v>18</v>
      </c>
      <c r="D6" s="3">
        <v>953</v>
      </c>
      <c r="E6" s="3">
        <v>56</v>
      </c>
      <c r="F6" s="3">
        <v>54</v>
      </c>
      <c r="G6" s="3">
        <v>43</v>
      </c>
      <c r="H6" s="4">
        <f t="shared" si="0"/>
        <v>153</v>
      </c>
      <c r="I6" s="4">
        <f t="shared" si="1"/>
        <v>9</v>
      </c>
      <c r="J6" s="5">
        <f t="shared" si="2"/>
        <v>11</v>
      </c>
      <c r="K6" s="6">
        <f t="shared" si="3"/>
        <v>12</v>
      </c>
      <c r="L6" s="3"/>
      <c r="M6" s="3">
        <v>12</v>
      </c>
    </row>
    <row r="7" spans="1:13" x14ac:dyDescent="0.25">
      <c r="A7" s="2" t="s">
        <v>10</v>
      </c>
      <c r="B7" s="3">
        <v>6409244</v>
      </c>
      <c r="C7" s="3">
        <v>90</v>
      </c>
      <c r="D7" s="3">
        <v>981</v>
      </c>
      <c r="E7" s="3">
        <v>43</v>
      </c>
      <c r="F7" s="3">
        <v>101</v>
      </c>
      <c r="G7" s="3">
        <v>66</v>
      </c>
      <c r="H7" s="4">
        <f t="shared" si="0"/>
        <v>210</v>
      </c>
      <c r="I7" s="4">
        <f t="shared" si="1"/>
        <v>3</v>
      </c>
      <c r="J7" s="5">
        <f t="shared" si="2"/>
        <v>4</v>
      </c>
      <c r="K7" s="6">
        <f t="shared" si="3"/>
        <v>4</v>
      </c>
      <c r="L7" s="3"/>
      <c r="M7" s="3">
        <v>3</v>
      </c>
    </row>
    <row r="8" spans="1:13" x14ac:dyDescent="0.25">
      <c r="A8" s="2" t="s">
        <v>11</v>
      </c>
      <c r="B8" s="3">
        <v>144723</v>
      </c>
      <c r="C8" s="3">
        <v>30</v>
      </c>
      <c r="D8" s="3">
        <v>859</v>
      </c>
      <c r="E8" s="3">
        <v>27</v>
      </c>
      <c r="F8" s="3">
        <v>27</v>
      </c>
      <c r="G8" s="3">
        <v>28</v>
      </c>
      <c r="H8" s="4">
        <f t="shared" si="0"/>
        <v>82</v>
      </c>
      <c r="I8" s="4">
        <f t="shared" si="1"/>
        <v>3</v>
      </c>
      <c r="J8" s="5">
        <f t="shared" si="2"/>
        <v>4</v>
      </c>
      <c r="K8" s="6">
        <f t="shared" si="3"/>
        <v>4</v>
      </c>
      <c r="L8" s="3"/>
      <c r="M8" s="3">
        <v>4</v>
      </c>
    </row>
    <row r="9" spans="1:13" x14ac:dyDescent="0.25">
      <c r="A9" s="2" t="s">
        <v>12</v>
      </c>
      <c r="B9" s="3">
        <v>6407756</v>
      </c>
      <c r="C9" s="3">
        <v>60</v>
      </c>
      <c r="D9" s="3">
        <v>9</v>
      </c>
      <c r="E9" s="3">
        <v>893</v>
      </c>
      <c r="F9" s="3">
        <v>69</v>
      </c>
      <c r="G9" s="3">
        <v>20</v>
      </c>
      <c r="H9" s="4">
        <f t="shared" si="0"/>
        <v>982</v>
      </c>
      <c r="I9" s="4">
        <f t="shared" si="1"/>
        <v>17</v>
      </c>
      <c r="J9" s="5">
        <f t="shared" si="2"/>
        <v>21</v>
      </c>
      <c r="K9" s="6">
        <f t="shared" si="3"/>
        <v>23</v>
      </c>
      <c r="L9" s="3"/>
      <c r="M9" s="3" t="s">
        <v>90</v>
      </c>
    </row>
    <row r="10" spans="1:13" x14ac:dyDescent="0.25">
      <c r="A10" s="2" t="s">
        <v>13</v>
      </c>
      <c r="B10" s="3">
        <v>6408709</v>
      </c>
      <c r="C10" s="3">
        <v>60</v>
      </c>
      <c r="D10" s="3">
        <v>418</v>
      </c>
      <c r="E10" s="3">
        <v>237</v>
      </c>
      <c r="F10" s="3">
        <v>436</v>
      </c>
      <c r="G10" s="3">
        <v>129</v>
      </c>
      <c r="H10" s="4">
        <f t="shared" si="0"/>
        <v>802</v>
      </c>
      <c r="I10" s="4">
        <f t="shared" si="1"/>
        <v>14</v>
      </c>
      <c r="J10" s="5">
        <f t="shared" si="2"/>
        <v>17</v>
      </c>
      <c r="K10" s="6">
        <f t="shared" si="3"/>
        <v>19</v>
      </c>
      <c r="L10" s="3"/>
      <c r="M10" s="3" t="s">
        <v>91</v>
      </c>
    </row>
    <row r="11" spans="1:13" x14ac:dyDescent="0.25">
      <c r="A11" s="2" t="s">
        <v>14</v>
      </c>
      <c r="B11" s="3">
        <v>6417923</v>
      </c>
      <c r="C11" s="3">
        <v>84</v>
      </c>
      <c r="D11" s="3">
        <v>985</v>
      </c>
      <c r="E11" s="3">
        <v>12</v>
      </c>
      <c r="F11" s="3">
        <v>24</v>
      </c>
      <c r="G11" s="3">
        <v>27</v>
      </c>
      <c r="H11" s="4">
        <f t="shared" si="0"/>
        <v>63</v>
      </c>
      <c r="I11" s="4">
        <f t="shared" si="1"/>
        <v>1</v>
      </c>
      <c r="J11" s="5">
        <f t="shared" si="2"/>
        <v>2</v>
      </c>
      <c r="K11" s="6">
        <f t="shared" si="3"/>
        <v>2</v>
      </c>
      <c r="L11" s="3"/>
      <c r="M11" s="3">
        <v>35</v>
      </c>
    </row>
    <row r="12" spans="1:13" ht="30" x14ac:dyDescent="0.25">
      <c r="A12" s="2" t="s">
        <v>15</v>
      </c>
      <c r="B12" s="3">
        <v>6409242</v>
      </c>
      <c r="C12" s="3">
        <v>60</v>
      </c>
      <c r="D12" s="3">
        <v>227</v>
      </c>
      <c r="E12" s="3">
        <v>233</v>
      </c>
      <c r="F12" s="3">
        <v>222</v>
      </c>
      <c r="G12" s="3">
        <v>303</v>
      </c>
      <c r="H12" s="4">
        <f t="shared" si="0"/>
        <v>758</v>
      </c>
      <c r="I12" s="4">
        <f t="shared" si="1"/>
        <v>13</v>
      </c>
      <c r="J12" s="5">
        <f t="shared" si="2"/>
        <v>16</v>
      </c>
      <c r="K12" s="6">
        <f t="shared" si="3"/>
        <v>17</v>
      </c>
      <c r="L12" s="3"/>
      <c r="M12" s="3" t="s">
        <v>91</v>
      </c>
    </row>
    <row r="13" spans="1:13" ht="30" x14ac:dyDescent="0.25">
      <c r="A13" s="2" t="s">
        <v>16</v>
      </c>
      <c r="B13" s="3">
        <v>6410263</v>
      </c>
      <c r="C13" s="3">
        <v>84</v>
      </c>
      <c r="D13" s="3">
        <v>515</v>
      </c>
      <c r="E13" s="3">
        <v>388</v>
      </c>
      <c r="F13" s="3">
        <v>314</v>
      </c>
      <c r="G13" s="3">
        <v>276</v>
      </c>
      <c r="H13" s="4">
        <f t="shared" si="0"/>
        <v>978</v>
      </c>
      <c r="I13" s="4">
        <f t="shared" si="1"/>
        <v>12</v>
      </c>
      <c r="J13" s="5">
        <f t="shared" si="2"/>
        <v>15</v>
      </c>
      <c r="K13" s="6">
        <f t="shared" si="3"/>
        <v>16</v>
      </c>
      <c r="L13" s="3"/>
      <c r="M13" s="3" t="s">
        <v>91</v>
      </c>
    </row>
    <row r="14" spans="1:13" x14ac:dyDescent="0.25">
      <c r="A14" s="2" t="s">
        <v>17</v>
      </c>
      <c r="B14" s="3">
        <v>6409024</v>
      </c>
      <c r="C14" s="3">
        <v>20</v>
      </c>
      <c r="D14" s="3">
        <v>197</v>
      </c>
      <c r="E14" s="3">
        <v>116</v>
      </c>
      <c r="F14" s="3">
        <v>95</v>
      </c>
      <c r="G14" s="3">
        <v>85</v>
      </c>
      <c r="H14" s="4">
        <f t="shared" si="0"/>
        <v>296</v>
      </c>
      <c r="I14" s="4">
        <f t="shared" si="1"/>
        <v>15</v>
      </c>
      <c r="J14" s="5">
        <f t="shared" si="2"/>
        <v>18</v>
      </c>
      <c r="K14" s="6">
        <f t="shared" si="3"/>
        <v>20</v>
      </c>
      <c r="L14" s="3"/>
      <c r="M14" s="3">
        <v>14</v>
      </c>
    </row>
    <row r="15" spans="1:13" x14ac:dyDescent="0.25">
      <c r="A15" s="13" t="s">
        <v>18</v>
      </c>
      <c r="B15" s="12">
        <v>6415779</v>
      </c>
      <c r="C15" s="12">
        <v>20</v>
      </c>
      <c r="D15" s="12">
        <v>891</v>
      </c>
      <c r="E15" s="12">
        <v>120</v>
      </c>
      <c r="F15" s="12">
        <v>85</v>
      </c>
      <c r="G15" s="12">
        <v>65</v>
      </c>
      <c r="H15" s="14">
        <f t="shared" si="0"/>
        <v>270</v>
      </c>
      <c r="I15" s="14">
        <f t="shared" si="1"/>
        <v>14</v>
      </c>
      <c r="J15" s="15">
        <f t="shared" si="2"/>
        <v>17</v>
      </c>
      <c r="K15" s="16">
        <f t="shared" si="3"/>
        <v>19</v>
      </c>
      <c r="L15" s="12" t="s">
        <v>84</v>
      </c>
      <c r="M15" s="12">
        <v>12</v>
      </c>
    </row>
    <row r="16" spans="1:13" x14ac:dyDescent="0.25">
      <c r="A16" s="2" t="s">
        <v>19</v>
      </c>
      <c r="B16" s="3">
        <v>6412292</v>
      </c>
      <c r="C16" s="3">
        <v>20</v>
      </c>
      <c r="D16" s="3">
        <v>915</v>
      </c>
      <c r="E16" s="3">
        <v>61</v>
      </c>
      <c r="F16" s="3">
        <v>54</v>
      </c>
      <c r="G16" s="3">
        <v>69</v>
      </c>
      <c r="H16" s="4">
        <f t="shared" si="0"/>
        <v>184</v>
      </c>
      <c r="I16" s="4">
        <f t="shared" si="1"/>
        <v>10</v>
      </c>
      <c r="J16" s="5">
        <f t="shared" si="2"/>
        <v>12</v>
      </c>
      <c r="K16" s="6">
        <f t="shared" si="3"/>
        <v>13</v>
      </c>
      <c r="L16" s="3"/>
      <c r="M16" s="3">
        <v>10</v>
      </c>
    </row>
    <row r="17" spans="1:15" x14ac:dyDescent="0.25">
      <c r="A17" s="2" t="s">
        <v>20</v>
      </c>
      <c r="B17" s="3">
        <v>4125</v>
      </c>
      <c r="C17" s="3">
        <v>16</v>
      </c>
      <c r="D17" s="3">
        <v>455</v>
      </c>
      <c r="E17" s="3">
        <v>37</v>
      </c>
      <c r="F17" s="3">
        <v>43</v>
      </c>
      <c r="G17" s="3">
        <v>40</v>
      </c>
      <c r="H17" s="4">
        <f t="shared" si="0"/>
        <v>120</v>
      </c>
      <c r="I17" s="4">
        <f t="shared" si="1"/>
        <v>8</v>
      </c>
      <c r="J17" s="5">
        <f t="shared" si="2"/>
        <v>10</v>
      </c>
      <c r="K17" s="6">
        <f t="shared" si="3"/>
        <v>11</v>
      </c>
      <c r="L17" s="3"/>
      <c r="M17" s="3">
        <v>8</v>
      </c>
    </row>
    <row r="18" spans="1:15" x14ac:dyDescent="0.25">
      <c r="A18" s="2" t="s">
        <v>21</v>
      </c>
      <c r="B18" s="3">
        <v>6414236</v>
      </c>
      <c r="C18" s="3">
        <v>15</v>
      </c>
      <c r="D18" s="3">
        <v>813</v>
      </c>
      <c r="E18" s="3">
        <v>136</v>
      </c>
      <c r="F18" s="3">
        <v>106</v>
      </c>
      <c r="G18" s="3">
        <v>82</v>
      </c>
      <c r="H18" s="4">
        <f t="shared" si="0"/>
        <v>324</v>
      </c>
      <c r="I18" s="4">
        <f t="shared" si="1"/>
        <v>22</v>
      </c>
      <c r="J18" s="5">
        <f t="shared" si="2"/>
        <v>27</v>
      </c>
      <c r="K18" s="6">
        <f t="shared" si="3"/>
        <v>29</v>
      </c>
      <c r="L18" s="3"/>
      <c r="M18" s="3" t="s">
        <v>90</v>
      </c>
    </row>
    <row r="19" spans="1:15" x14ac:dyDescent="0.25">
      <c r="A19" s="2" t="s">
        <v>22</v>
      </c>
      <c r="B19" s="3">
        <v>6415335</v>
      </c>
      <c r="C19" s="3">
        <v>20</v>
      </c>
      <c r="D19" s="3">
        <v>972</v>
      </c>
      <c r="E19" s="3">
        <v>37</v>
      </c>
      <c r="F19" s="3">
        <v>45</v>
      </c>
      <c r="G19" s="3">
        <v>27</v>
      </c>
      <c r="H19" s="4">
        <f t="shared" si="0"/>
        <v>109</v>
      </c>
      <c r="I19" s="4">
        <f t="shared" si="1"/>
        <v>6</v>
      </c>
      <c r="J19" s="5">
        <f t="shared" si="2"/>
        <v>8</v>
      </c>
      <c r="K19" s="6">
        <f t="shared" si="3"/>
        <v>8</v>
      </c>
      <c r="L19" s="3"/>
      <c r="M19" s="3">
        <v>12</v>
      </c>
    </row>
    <row r="20" spans="1:15" x14ac:dyDescent="0.25">
      <c r="A20" s="2" t="s">
        <v>23</v>
      </c>
      <c r="B20" s="3">
        <v>6408671</v>
      </c>
      <c r="C20" s="3">
        <v>90</v>
      </c>
      <c r="D20" s="3">
        <v>337</v>
      </c>
      <c r="E20" s="3">
        <v>512</v>
      </c>
      <c r="F20" s="3">
        <v>438</v>
      </c>
      <c r="G20" s="3">
        <v>507</v>
      </c>
      <c r="H20" s="4">
        <f t="shared" si="0"/>
        <v>1457</v>
      </c>
      <c r="I20" s="4">
        <f t="shared" si="1"/>
        <v>17</v>
      </c>
      <c r="J20" s="5">
        <f t="shared" si="2"/>
        <v>21</v>
      </c>
      <c r="K20" s="6">
        <f t="shared" si="3"/>
        <v>23</v>
      </c>
      <c r="L20" s="3"/>
      <c r="M20" s="3" t="s">
        <v>90</v>
      </c>
      <c r="O20" s="9"/>
    </row>
    <row r="21" spans="1:15" ht="30" x14ac:dyDescent="0.25">
      <c r="A21" s="2" t="s">
        <v>24</v>
      </c>
      <c r="B21" s="3">
        <v>6412896</v>
      </c>
      <c r="C21" s="3">
        <v>90</v>
      </c>
      <c r="D21" s="3">
        <v>812</v>
      </c>
      <c r="E21" s="3">
        <v>93</v>
      </c>
      <c r="F21" s="3">
        <v>143</v>
      </c>
      <c r="G21" s="3">
        <v>97</v>
      </c>
      <c r="H21" s="4">
        <f t="shared" si="0"/>
        <v>333</v>
      </c>
      <c r="I21" s="4">
        <f t="shared" si="1"/>
        <v>4</v>
      </c>
      <c r="J21" s="5">
        <f t="shared" si="2"/>
        <v>5</v>
      </c>
      <c r="K21" s="6">
        <f t="shared" si="3"/>
        <v>6</v>
      </c>
      <c r="L21" s="3"/>
      <c r="M21" s="3">
        <v>16</v>
      </c>
    </row>
    <row r="22" spans="1:15" ht="30" x14ac:dyDescent="0.25">
      <c r="A22" s="2" t="s">
        <v>25</v>
      </c>
      <c r="B22" s="3">
        <v>6418592</v>
      </c>
      <c r="C22" s="3">
        <v>60</v>
      </c>
      <c r="D22" s="3">
        <v>863</v>
      </c>
      <c r="E22" s="3">
        <v>4</v>
      </c>
      <c r="F22" s="3">
        <v>33</v>
      </c>
      <c r="G22" s="3">
        <v>0</v>
      </c>
      <c r="H22" s="4">
        <f t="shared" si="0"/>
        <v>37</v>
      </c>
      <c r="I22" s="4">
        <f t="shared" si="1"/>
        <v>1</v>
      </c>
      <c r="J22" s="5">
        <f t="shared" si="2"/>
        <v>2</v>
      </c>
      <c r="K22" s="6">
        <f t="shared" si="3"/>
        <v>2</v>
      </c>
      <c r="L22" s="3"/>
      <c r="M22" s="3">
        <v>4</v>
      </c>
    </row>
    <row r="23" spans="1:15" x14ac:dyDescent="0.25">
      <c r="A23" s="2" t="s">
        <v>26</v>
      </c>
      <c r="B23" s="3">
        <v>230002</v>
      </c>
      <c r="C23" s="3">
        <v>26</v>
      </c>
      <c r="D23" s="3"/>
      <c r="E23" s="3"/>
      <c r="F23" s="3"/>
      <c r="G23" s="3"/>
      <c r="H23" s="4">
        <f t="shared" si="0"/>
        <v>0</v>
      </c>
      <c r="I23" s="4">
        <f t="shared" si="1"/>
        <v>0</v>
      </c>
      <c r="J23" s="5">
        <f t="shared" si="2"/>
        <v>0</v>
      </c>
      <c r="K23" s="6">
        <f t="shared" si="3"/>
        <v>0</v>
      </c>
      <c r="L23" s="3"/>
      <c r="M23" s="3">
        <v>1</v>
      </c>
    </row>
    <row r="24" spans="1:15" x14ac:dyDescent="0.25">
      <c r="A24" s="2" t="s">
        <v>27</v>
      </c>
      <c r="B24" s="3">
        <v>6417926</v>
      </c>
      <c r="C24" s="3">
        <v>48</v>
      </c>
      <c r="D24" s="3"/>
      <c r="E24" s="3"/>
      <c r="F24" s="3"/>
      <c r="G24" s="3"/>
      <c r="H24" s="4">
        <f t="shared" si="0"/>
        <v>0</v>
      </c>
      <c r="I24" s="4">
        <f t="shared" si="1"/>
        <v>0</v>
      </c>
      <c r="J24" s="5">
        <f t="shared" si="2"/>
        <v>0</v>
      </c>
      <c r="K24" s="6">
        <f t="shared" si="3"/>
        <v>0</v>
      </c>
      <c r="L24" s="3"/>
      <c r="M24" s="3">
        <v>3</v>
      </c>
    </row>
    <row r="25" spans="1:15" x14ac:dyDescent="0.25">
      <c r="A25" s="2" t="s">
        <v>28</v>
      </c>
      <c r="B25" s="3">
        <v>6417712</v>
      </c>
      <c r="C25" s="3">
        <v>48</v>
      </c>
      <c r="D25" s="3"/>
      <c r="E25" s="3"/>
      <c r="F25" s="3"/>
      <c r="G25" s="3"/>
      <c r="H25" s="4">
        <f t="shared" si="0"/>
        <v>0</v>
      </c>
      <c r="I25" s="4">
        <f t="shared" si="1"/>
        <v>0</v>
      </c>
      <c r="J25" s="5">
        <f t="shared" si="2"/>
        <v>0</v>
      </c>
      <c r="K25" s="6">
        <f t="shared" si="3"/>
        <v>0</v>
      </c>
      <c r="L25" s="3"/>
      <c r="M25" s="3">
        <v>2</v>
      </c>
    </row>
    <row r="26" spans="1:15" x14ac:dyDescent="0.25">
      <c r="A26" s="2" t="s">
        <v>29</v>
      </c>
      <c r="B26" s="3">
        <v>6415538</v>
      </c>
      <c r="C26" s="3">
        <v>12</v>
      </c>
      <c r="D26" s="3">
        <v>1121</v>
      </c>
      <c r="E26" s="3">
        <v>63</v>
      </c>
      <c r="F26" s="3">
        <v>81</v>
      </c>
      <c r="G26" s="3">
        <v>53</v>
      </c>
      <c r="H26" s="4">
        <f t="shared" si="0"/>
        <v>197</v>
      </c>
      <c r="I26" s="4">
        <f t="shared" si="1"/>
        <v>17</v>
      </c>
      <c r="J26" s="5">
        <f t="shared" si="2"/>
        <v>21</v>
      </c>
      <c r="K26" s="6">
        <f t="shared" si="3"/>
        <v>23</v>
      </c>
      <c r="L26" s="3"/>
      <c r="M26" s="3">
        <v>15</v>
      </c>
    </row>
    <row r="27" spans="1:15" x14ac:dyDescent="0.25">
      <c r="A27" s="2" t="s">
        <v>30</v>
      </c>
      <c r="B27" s="3">
        <v>227544</v>
      </c>
      <c r="C27" s="3">
        <v>120</v>
      </c>
      <c r="D27" s="3">
        <v>902</v>
      </c>
      <c r="E27" s="3">
        <v>55</v>
      </c>
      <c r="F27" s="3">
        <v>71</v>
      </c>
      <c r="G27" s="3">
        <v>58</v>
      </c>
      <c r="H27" s="4">
        <f t="shared" si="0"/>
        <v>184</v>
      </c>
      <c r="I27" s="4">
        <f t="shared" si="1"/>
        <v>2</v>
      </c>
      <c r="J27" s="5">
        <f t="shared" si="2"/>
        <v>3</v>
      </c>
      <c r="K27" s="6">
        <f t="shared" si="3"/>
        <v>3</v>
      </c>
      <c r="L27" s="3"/>
      <c r="M27" s="3">
        <v>3</v>
      </c>
    </row>
    <row r="28" spans="1:15" x14ac:dyDescent="0.25">
      <c r="A28" s="2" t="s">
        <v>31</v>
      </c>
      <c r="B28" s="3">
        <v>195737</v>
      </c>
      <c r="C28" s="3">
        <v>48</v>
      </c>
      <c r="D28" s="3">
        <v>861</v>
      </c>
      <c r="E28" s="3">
        <v>22</v>
      </c>
      <c r="F28" s="3">
        <v>21</v>
      </c>
      <c r="G28" s="3">
        <v>23</v>
      </c>
      <c r="H28" s="4">
        <f t="shared" si="0"/>
        <v>66</v>
      </c>
      <c r="I28" s="4">
        <f t="shared" si="1"/>
        <v>2</v>
      </c>
      <c r="J28" s="5">
        <f t="shared" si="2"/>
        <v>3</v>
      </c>
      <c r="K28" s="6">
        <f t="shared" si="3"/>
        <v>3</v>
      </c>
      <c r="L28" s="3"/>
      <c r="M28" s="3">
        <v>4</v>
      </c>
    </row>
    <row r="29" spans="1:15" x14ac:dyDescent="0.25">
      <c r="A29" s="2" t="s">
        <v>32</v>
      </c>
      <c r="B29" s="3">
        <v>203327</v>
      </c>
      <c r="C29" s="3">
        <v>48</v>
      </c>
      <c r="D29" s="3">
        <v>904</v>
      </c>
      <c r="E29" s="3">
        <v>43</v>
      </c>
      <c r="F29" s="3">
        <v>37</v>
      </c>
      <c r="G29" s="3">
        <v>41</v>
      </c>
      <c r="H29" s="4">
        <f t="shared" si="0"/>
        <v>121</v>
      </c>
      <c r="I29" s="4">
        <f t="shared" si="1"/>
        <v>3</v>
      </c>
      <c r="J29" s="5">
        <f t="shared" si="2"/>
        <v>4</v>
      </c>
      <c r="K29" s="6">
        <f t="shared" si="3"/>
        <v>4</v>
      </c>
      <c r="L29" s="3"/>
      <c r="M29" s="3">
        <v>4</v>
      </c>
    </row>
    <row r="30" spans="1:15" x14ac:dyDescent="0.25">
      <c r="A30" s="13" t="s">
        <v>33</v>
      </c>
      <c r="B30" s="12">
        <v>195746</v>
      </c>
      <c r="C30" s="12">
        <v>48</v>
      </c>
      <c r="D30" s="12">
        <v>872</v>
      </c>
      <c r="E30" s="12">
        <v>150</v>
      </c>
      <c r="F30" s="12">
        <v>103</v>
      </c>
      <c r="G30" s="12">
        <v>143</v>
      </c>
      <c r="H30" s="14">
        <f t="shared" si="0"/>
        <v>396</v>
      </c>
      <c r="I30" s="14">
        <f t="shared" si="1"/>
        <v>9</v>
      </c>
      <c r="J30" s="15">
        <f t="shared" si="2"/>
        <v>11</v>
      </c>
      <c r="K30" s="16">
        <f t="shared" si="3"/>
        <v>12</v>
      </c>
      <c r="L30" s="12" t="s">
        <v>84</v>
      </c>
      <c r="M30" s="12">
        <v>2</v>
      </c>
    </row>
    <row r="31" spans="1:15" x14ac:dyDescent="0.25">
      <c r="A31" s="2" t="s">
        <v>34</v>
      </c>
      <c r="B31" s="3">
        <v>196641</v>
      </c>
      <c r="C31" s="3">
        <v>60</v>
      </c>
      <c r="D31" s="3">
        <v>920</v>
      </c>
      <c r="E31" s="3">
        <v>7</v>
      </c>
      <c r="F31" s="3">
        <v>5</v>
      </c>
      <c r="G31" s="3">
        <v>14</v>
      </c>
      <c r="H31" s="4">
        <f t="shared" si="0"/>
        <v>26</v>
      </c>
      <c r="I31" s="4">
        <f t="shared" si="1"/>
        <v>1</v>
      </c>
      <c r="J31" s="5">
        <f t="shared" si="2"/>
        <v>2</v>
      </c>
      <c r="K31" s="6">
        <f t="shared" si="3"/>
        <v>2</v>
      </c>
      <c r="L31" s="3"/>
      <c r="M31" s="3">
        <v>4</v>
      </c>
    </row>
    <row r="32" spans="1:15" ht="30" x14ac:dyDescent="0.25">
      <c r="A32" s="2" t="s">
        <v>35</v>
      </c>
      <c r="B32" s="3">
        <v>182155</v>
      </c>
      <c r="C32" s="3">
        <v>120</v>
      </c>
      <c r="D32" s="3">
        <v>893</v>
      </c>
      <c r="E32" s="3">
        <v>5</v>
      </c>
      <c r="F32" s="3">
        <v>28</v>
      </c>
      <c r="G32" s="3">
        <v>39</v>
      </c>
      <c r="H32" s="4">
        <f t="shared" si="0"/>
        <v>72</v>
      </c>
      <c r="I32" s="4">
        <f t="shared" si="1"/>
        <v>1</v>
      </c>
      <c r="J32" s="5">
        <f t="shared" si="2"/>
        <v>2</v>
      </c>
      <c r="K32" s="6">
        <f t="shared" si="3"/>
        <v>2</v>
      </c>
      <c r="L32" s="3"/>
      <c r="M32" s="3">
        <v>2</v>
      </c>
    </row>
    <row r="33" spans="1:13" x14ac:dyDescent="0.25">
      <c r="A33" s="2" t="s">
        <v>36</v>
      </c>
      <c r="B33" s="3">
        <v>5505443</v>
      </c>
      <c r="C33" s="3">
        <v>12</v>
      </c>
      <c r="D33" s="3">
        <v>875</v>
      </c>
      <c r="E33" s="3">
        <v>81</v>
      </c>
      <c r="F33" s="3">
        <v>68</v>
      </c>
      <c r="G33" s="3">
        <v>68</v>
      </c>
      <c r="H33" s="4">
        <f t="shared" si="0"/>
        <v>217</v>
      </c>
      <c r="I33" s="4">
        <f t="shared" si="1"/>
        <v>19</v>
      </c>
      <c r="J33" s="5">
        <f t="shared" si="2"/>
        <v>23</v>
      </c>
      <c r="K33" s="6">
        <f t="shared" si="3"/>
        <v>25</v>
      </c>
      <c r="L33" s="3"/>
      <c r="M33" s="3">
        <v>32</v>
      </c>
    </row>
    <row r="34" spans="1:13" x14ac:dyDescent="0.25">
      <c r="A34" s="2" t="s">
        <v>37</v>
      </c>
      <c r="B34" s="3">
        <v>6403162</v>
      </c>
      <c r="C34" s="3">
        <v>96</v>
      </c>
      <c r="D34" s="3">
        <v>912</v>
      </c>
      <c r="E34" s="3">
        <v>56</v>
      </c>
      <c r="F34" s="3">
        <v>70</v>
      </c>
      <c r="G34" s="3">
        <v>45</v>
      </c>
      <c r="H34" s="4">
        <f t="shared" si="0"/>
        <v>171</v>
      </c>
      <c r="I34" s="4">
        <f t="shared" si="1"/>
        <v>2</v>
      </c>
      <c r="J34" s="5">
        <f t="shared" si="2"/>
        <v>3</v>
      </c>
      <c r="K34" s="6">
        <f t="shared" si="3"/>
        <v>3</v>
      </c>
      <c r="L34" s="3"/>
      <c r="M34" s="3">
        <v>4</v>
      </c>
    </row>
    <row r="35" spans="1:13" x14ac:dyDescent="0.25">
      <c r="A35" s="2" t="s">
        <v>38</v>
      </c>
      <c r="B35" s="3">
        <v>6415264</v>
      </c>
      <c r="C35" s="3">
        <v>72</v>
      </c>
      <c r="D35" s="3">
        <v>964</v>
      </c>
      <c r="E35" s="3">
        <v>50</v>
      </c>
      <c r="F35" s="3">
        <v>28</v>
      </c>
      <c r="G35" s="3">
        <v>43</v>
      </c>
      <c r="H35" s="4">
        <f t="shared" si="0"/>
        <v>121</v>
      </c>
      <c r="I35" s="4">
        <f t="shared" si="1"/>
        <v>2</v>
      </c>
      <c r="J35" s="5">
        <f t="shared" si="2"/>
        <v>3</v>
      </c>
      <c r="K35" s="6">
        <f t="shared" si="3"/>
        <v>3</v>
      </c>
      <c r="L35" s="3"/>
      <c r="M35" s="3">
        <v>3</v>
      </c>
    </row>
    <row r="36" spans="1:13" x14ac:dyDescent="0.25">
      <c r="A36" s="2" t="s">
        <v>39</v>
      </c>
      <c r="B36" s="3">
        <v>6409269</v>
      </c>
      <c r="C36" s="3">
        <v>45</v>
      </c>
      <c r="D36" s="3">
        <v>982</v>
      </c>
      <c r="E36" s="3">
        <v>100</v>
      </c>
      <c r="F36" s="3">
        <v>80</v>
      </c>
      <c r="G36" s="3">
        <v>82</v>
      </c>
      <c r="H36" s="4">
        <f t="shared" si="0"/>
        <v>262</v>
      </c>
      <c r="I36" s="4">
        <f t="shared" si="1"/>
        <v>6</v>
      </c>
      <c r="J36" s="5">
        <f t="shared" si="2"/>
        <v>8</v>
      </c>
      <c r="K36" s="6">
        <f t="shared" si="3"/>
        <v>8</v>
      </c>
      <c r="L36" s="3"/>
      <c r="M36" s="3">
        <v>8</v>
      </c>
    </row>
    <row r="37" spans="1:13" x14ac:dyDescent="0.25">
      <c r="A37" s="2" t="s">
        <v>40</v>
      </c>
      <c r="B37" s="3">
        <v>1219</v>
      </c>
      <c r="C37" s="3">
        <v>96</v>
      </c>
      <c r="D37" s="3">
        <v>640</v>
      </c>
      <c r="E37" s="3">
        <v>62</v>
      </c>
      <c r="F37" s="3">
        <v>63</v>
      </c>
      <c r="G37" s="3">
        <v>49</v>
      </c>
      <c r="H37" s="4">
        <f t="shared" ref="H37:H68" si="4">E37+F37+G37</f>
        <v>174</v>
      </c>
      <c r="I37" s="4">
        <f t="shared" ref="I37:I68" si="5">IF(C37=0,"",ROUNDUP(H37/C37,0))</f>
        <v>2</v>
      </c>
      <c r="J37" s="5">
        <f t="shared" ref="J37:J68" si="6">IF(I37="","",ROUNDUP(I37*1.2,0))</f>
        <v>3</v>
      </c>
      <c r="K37" s="6">
        <f t="shared" ref="K37:K68" si="7">IF(I37="","",ROUNDUP(I37*1.3,0))</f>
        <v>3</v>
      </c>
      <c r="L37" s="3"/>
      <c r="M37" s="3">
        <v>3</v>
      </c>
    </row>
    <row r="38" spans="1:13" x14ac:dyDescent="0.25">
      <c r="A38" s="2" t="s">
        <v>41</v>
      </c>
      <c r="B38" s="3">
        <v>6402493</v>
      </c>
      <c r="C38" s="3">
        <v>60</v>
      </c>
      <c r="D38" s="3">
        <v>877</v>
      </c>
      <c r="E38" s="3">
        <v>220</v>
      </c>
      <c r="F38" s="3">
        <v>135</v>
      </c>
      <c r="G38" s="3">
        <v>133</v>
      </c>
      <c r="H38" s="4">
        <f t="shared" si="4"/>
        <v>488</v>
      </c>
      <c r="I38" s="4">
        <f t="shared" si="5"/>
        <v>9</v>
      </c>
      <c r="J38" s="5">
        <f t="shared" si="6"/>
        <v>11</v>
      </c>
      <c r="K38" s="6">
        <f t="shared" si="7"/>
        <v>12</v>
      </c>
      <c r="L38" s="3"/>
      <c r="M38" s="3">
        <v>12</v>
      </c>
    </row>
    <row r="39" spans="1:13" x14ac:dyDescent="0.25">
      <c r="A39" s="2" t="s">
        <v>42</v>
      </c>
      <c r="B39" s="3">
        <v>6413187</v>
      </c>
      <c r="C39" s="3">
        <v>96</v>
      </c>
      <c r="D39" s="3">
        <v>986</v>
      </c>
      <c r="E39" s="3">
        <v>102</v>
      </c>
      <c r="F39" s="3">
        <v>82</v>
      </c>
      <c r="G39" s="3">
        <v>83</v>
      </c>
      <c r="H39" s="4">
        <f t="shared" si="4"/>
        <v>267</v>
      </c>
      <c r="I39" s="4">
        <f t="shared" si="5"/>
        <v>3</v>
      </c>
      <c r="J39" s="5">
        <f t="shared" si="6"/>
        <v>4</v>
      </c>
      <c r="K39" s="6">
        <f t="shared" si="7"/>
        <v>4</v>
      </c>
      <c r="L39" s="3"/>
      <c r="M39" s="3">
        <v>4</v>
      </c>
    </row>
    <row r="40" spans="1:13" x14ac:dyDescent="0.25">
      <c r="A40" s="13" t="s">
        <v>43</v>
      </c>
      <c r="B40" s="12">
        <v>121471</v>
      </c>
      <c r="C40" s="12">
        <v>120</v>
      </c>
      <c r="D40" s="12">
        <v>857</v>
      </c>
      <c r="E40" s="12">
        <v>498</v>
      </c>
      <c r="F40" s="12">
        <v>325</v>
      </c>
      <c r="G40" s="12">
        <v>395</v>
      </c>
      <c r="H40" s="14">
        <f t="shared" si="4"/>
        <v>1218</v>
      </c>
      <c r="I40" s="14">
        <f t="shared" si="5"/>
        <v>11</v>
      </c>
      <c r="J40" s="15">
        <f t="shared" si="6"/>
        <v>14</v>
      </c>
      <c r="K40" s="16">
        <f t="shared" si="7"/>
        <v>15</v>
      </c>
      <c r="L40" s="12" t="s">
        <v>84</v>
      </c>
      <c r="M40" s="12">
        <v>8</v>
      </c>
    </row>
    <row r="41" spans="1:13" x14ac:dyDescent="0.25">
      <c r="A41" s="2" t="s">
        <v>44</v>
      </c>
      <c r="B41" s="3">
        <v>6019043</v>
      </c>
      <c r="C41" s="3">
        <v>54</v>
      </c>
      <c r="D41" s="3">
        <v>874</v>
      </c>
      <c r="E41" s="3">
        <v>5</v>
      </c>
      <c r="F41" s="3">
        <v>8</v>
      </c>
      <c r="G41" s="3">
        <v>4</v>
      </c>
      <c r="H41" s="4">
        <f t="shared" si="4"/>
        <v>17</v>
      </c>
      <c r="I41" s="4">
        <f t="shared" si="5"/>
        <v>1</v>
      </c>
      <c r="J41" s="5">
        <f t="shared" si="6"/>
        <v>2</v>
      </c>
      <c r="K41" s="6">
        <f t="shared" si="7"/>
        <v>2</v>
      </c>
      <c r="L41" s="3"/>
      <c r="M41" s="3">
        <v>4</v>
      </c>
    </row>
    <row r="42" spans="1:13" x14ac:dyDescent="0.25">
      <c r="A42" s="2" t="s">
        <v>45</v>
      </c>
      <c r="B42" s="3">
        <v>227543</v>
      </c>
      <c r="C42" s="3">
        <v>120</v>
      </c>
      <c r="D42" s="3">
        <v>942</v>
      </c>
      <c r="E42" s="3">
        <v>36</v>
      </c>
      <c r="F42" s="3">
        <v>40</v>
      </c>
      <c r="G42" s="3">
        <v>52</v>
      </c>
      <c r="H42" s="4">
        <f t="shared" si="4"/>
        <v>128</v>
      </c>
      <c r="I42" s="4">
        <f t="shared" si="5"/>
        <v>2</v>
      </c>
      <c r="J42" s="5">
        <f t="shared" si="6"/>
        <v>3</v>
      </c>
      <c r="K42" s="6">
        <f t="shared" si="7"/>
        <v>3</v>
      </c>
      <c r="L42" s="3"/>
      <c r="M42" s="3">
        <v>3</v>
      </c>
    </row>
    <row r="43" spans="1:13" x14ac:dyDescent="0.25">
      <c r="A43" s="2" t="s">
        <v>46</v>
      </c>
      <c r="B43" s="3">
        <v>6418416</v>
      </c>
      <c r="C43" s="3">
        <v>60</v>
      </c>
      <c r="D43" s="3"/>
      <c r="E43" s="3"/>
      <c r="F43" s="3"/>
      <c r="G43" s="3"/>
      <c r="H43" s="4">
        <f t="shared" si="4"/>
        <v>0</v>
      </c>
      <c r="I43" s="4">
        <f t="shared" si="5"/>
        <v>0</v>
      </c>
      <c r="J43" s="5">
        <f t="shared" si="6"/>
        <v>0</v>
      </c>
      <c r="K43" s="6">
        <f t="shared" si="7"/>
        <v>0</v>
      </c>
      <c r="L43" s="3"/>
      <c r="M43" s="3">
        <v>4</v>
      </c>
    </row>
    <row r="44" spans="1:13" x14ac:dyDescent="0.25">
      <c r="A44" s="2" t="s">
        <v>47</v>
      </c>
      <c r="B44" s="3">
        <v>120914</v>
      </c>
      <c r="C44" s="3">
        <v>48</v>
      </c>
      <c r="D44" s="3">
        <v>868</v>
      </c>
      <c r="E44" s="3">
        <v>30</v>
      </c>
      <c r="F44" s="3">
        <v>30</v>
      </c>
      <c r="G44" s="3">
        <v>42</v>
      </c>
      <c r="H44" s="4">
        <f t="shared" si="4"/>
        <v>102</v>
      </c>
      <c r="I44" s="4">
        <f t="shared" si="5"/>
        <v>3</v>
      </c>
      <c r="J44" s="5">
        <f t="shared" si="6"/>
        <v>4</v>
      </c>
      <c r="K44" s="6">
        <f t="shared" si="7"/>
        <v>4</v>
      </c>
      <c r="L44" s="3"/>
      <c r="M44" s="3">
        <v>3</v>
      </c>
    </row>
    <row r="45" spans="1:13" x14ac:dyDescent="0.25">
      <c r="A45" s="2" t="s">
        <v>48</v>
      </c>
      <c r="B45" s="3">
        <v>6410892</v>
      </c>
      <c r="C45" s="3">
        <v>72</v>
      </c>
      <c r="D45" s="3">
        <v>804</v>
      </c>
      <c r="E45" s="3">
        <v>65</v>
      </c>
      <c r="F45" s="3">
        <v>33</v>
      </c>
      <c r="G45" s="3">
        <v>46</v>
      </c>
      <c r="H45" s="4">
        <f t="shared" si="4"/>
        <v>144</v>
      </c>
      <c r="I45" s="4">
        <f t="shared" si="5"/>
        <v>2</v>
      </c>
      <c r="J45" s="5">
        <f t="shared" si="6"/>
        <v>3</v>
      </c>
      <c r="K45" s="6">
        <f t="shared" si="7"/>
        <v>3</v>
      </c>
      <c r="L45" s="3"/>
      <c r="M45" s="3">
        <v>5</v>
      </c>
    </row>
    <row r="46" spans="1:13" x14ac:dyDescent="0.25">
      <c r="A46" s="2" t="s">
        <v>49</v>
      </c>
      <c r="B46" s="3">
        <v>6413893</v>
      </c>
      <c r="C46" s="3">
        <v>42</v>
      </c>
      <c r="D46" s="3"/>
      <c r="E46" s="3"/>
      <c r="F46" s="3"/>
      <c r="G46" s="3"/>
      <c r="H46" s="4">
        <f t="shared" si="4"/>
        <v>0</v>
      </c>
      <c r="I46" s="4">
        <f t="shared" si="5"/>
        <v>0</v>
      </c>
      <c r="J46" s="5">
        <f t="shared" si="6"/>
        <v>0</v>
      </c>
      <c r="K46" s="6">
        <f t="shared" si="7"/>
        <v>0</v>
      </c>
      <c r="L46" s="3"/>
      <c r="M46" s="3">
        <v>4</v>
      </c>
    </row>
    <row r="47" spans="1:13" x14ac:dyDescent="0.25">
      <c r="A47" s="2" t="s">
        <v>50</v>
      </c>
      <c r="B47" s="3">
        <v>6403546</v>
      </c>
      <c r="C47" s="3">
        <v>60</v>
      </c>
      <c r="D47" s="3">
        <v>736</v>
      </c>
      <c r="E47" s="3">
        <v>90</v>
      </c>
      <c r="F47" s="3">
        <v>88</v>
      </c>
      <c r="G47" s="3">
        <v>45</v>
      </c>
      <c r="H47" s="4">
        <f t="shared" si="4"/>
        <v>223</v>
      </c>
      <c r="I47" s="4">
        <f t="shared" si="5"/>
        <v>4</v>
      </c>
      <c r="J47" s="5">
        <f t="shared" si="6"/>
        <v>5</v>
      </c>
      <c r="K47" s="6">
        <f t="shared" si="7"/>
        <v>6</v>
      </c>
      <c r="L47" s="3"/>
      <c r="M47" s="3">
        <v>4</v>
      </c>
    </row>
    <row r="48" spans="1:13" x14ac:dyDescent="0.25">
      <c r="A48" s="2" t="s">
        <v>51</v>
      </c>
      <c r="B48" s="3">
        <v>6408014</v>
      </c>
      <c r="C48" s="3">
        <v>72</v>
      </c>
      <c r="D48" s="3">
        <v>998</v>
      </c>
      <c r="E48" s="3">
        <v>144</v>
      </c>
      <c r="F48" s="3">
        <v>97</v>
      </c>
      <c r="G48" s="3">
        <v>119</v>
      </c>
      <c r="H48" s="4">
        <f t="shared" si="4"/>
        <v>360</v>
      </c>
      <c r="I48" s="4">
        <f t="shared" si="5"/>
        <v>5</v>
      </c>
      <c r="J48" s="5">
        <f t="shared" si="6"/>
        <v>6</v>
      </c>
      <c r="K48" s="6">
        <f t="shared" si="7"/>
        <v>7</v>
      </c>
      <c r="L48" s="3"/>
      <c r="M48" s="3">
        <v>7</v>
      </c>
    </row>
    <row r="49" spans="1:13" x14ac:dyDescent="0.25">
      <c r="A49" s="2" t="s">
        <v>52</v>
      </c>
      <c r="B49" s="3">
        <v>6416779</v>
      </c>
      <c r="C49" s="3">
        <v>96</v>
      </c>
      <c r="D49" s="3"/>
      <c r="E49" s="3"/>
      <c r="F49" s="3"/>
      <c r="G49" s="3"/>
      <c r="H49" s="4">
        <f t="shared" si="4"/>
        <v>0</v>
      </c>
      <c r="I49" s="4">
        <f t="shared" si="5"/>
        <v>0</v>
      </c>
      <c r="J49" s="5">
        <f t="shared" si="6"/>
        <v>0</v>
      </c>
      <c r="K49" s="6">
        <f t="shared" si="7"/>
        <v>0</v>
      </c>
      <c r="L49" s="3"/>
      <c r="M49" s="3">
        <v>4</v>
      </c>
    </row>
    <row r="50" spans="1:13" ht="30" x14ac:dyDescent="0.25">
      <c r="A50" s="2" t="s">
        <v>53</v>
      </c>
      <c r="B50" s="3">
        <v>6409350</v>
      </c>
      <c r="C50" s="3">
        <v>72</v>
      </c>
      <c r="D50" s="3">
        <v>281</v>
      </c>
      <c r="E50" s="3">
        <v>39</v>
      </c>
      <c r="F50" s="3">
        <v>40</v>
      </c>
      <c r="G50" s="3">
        <v>30</v>
      </c>
      <c r="H50" s="4">
        <f t="shared" si="4"/>
        <v>109</v>
      </c>
      <c r="I50" s="4">
        <f t="shared" si="5"/>
        <v>2</v>
      </c>
      <c r="J50" s="5">
        <f t="shared" si="6"/>
        <v>3</v>
      </c>
      <c r="K50" s="6">
        <f t="shared" si="7"/>
        <v>3</v>
      </c>
      <c r="L50" s="3"/>
      <c r="M50" s="3">
        <v>3</v>
      </c>
    </row>
    <row r="51" spans="1:13" x14ac:dyDescent="0.25">
      <c r="A51" s="2" t="s">
        <v>54</v>
      </c>
      <c r="B51" s="3">
        <v>6413584</v>
      </c>
      <c r="C51" s="3">
        <v>108</v>
      </c>
      <c r="D51" s="3">
        <v>968</v>
      </c>
      <c r="E51" s="3">
        <v>49</v>
      </c>
      <c r="F51" s="3">
        <v>33</v>
      </c>
      <c r="G51" s="3">
        <v>26</v>
      </c>
      <c r="H51" s="4">
        <f t="shared" si="4"/>
        <v>108</v>
      </c>
      <c r="I51" s="4">
        <f t="shared" si="5"/>
        <v>1</v>
      </c>
      <c r="J51" s="5">
        <f t="shared" si="6"/>
        <v>2</v>
      </c>
      <c r="K51" s="6">
        <f t="shared" si="7"/>
        <v>2</v>
      </c>
      <c r="L51" s="3"/>
      <c r="M51" s="3">
        <v>5</v>
      </c>
    </row>
    <row r="52" spans="1:13" x14ac:dyDescent="0.25">
      <c r="A52" s="2" t="s">
        <v>81</v>
      </c>
      <c r="B52" s="3">
        <v>6410947</v>
      </c>
      <c r="C52" s="3">
        <v>60</v>
      </c>
      <c r="D52" s="3">
        <v>805</v>
      </c>
      <c r="E52" s="3">
        <v>42</v>
      </c>
      <c r="F52" s="3">
        <v>45</v>
      </c>
      <c r="G52" s="3">
        <v>49</v>
      </c>
      <c r="H52" s="4">
        <f t="shared" si="4"/>
        <v>136</v>
      </c>
      <c r="I52" s="4">
        <f t="shared" si="5"/>
        <v>3</v>
      </c>
      <c r="J52" s="5">
        <f t="shared" si="6"/>
        <v>4</v>
      </c>
      <c r="K52" s="6">
        <f t="shared" si="7"/>
        <v>4</v>
      </c>
      <c r="L52" s="3"/>
      <c r="M52" s="3">
        <v>4</v>
      </c>
    </row>
    <row r="53" spans="1:13" x14ac:dyDescent="0.25">
      <c r="A53" s="2" t="s">
        <v>55</v>
      </c>
      <c r="B53" s="3">
        <v>6410801</v>
      </c>
      <c r="C53" s="3">
        <v>60</v>
      </c>
      <c r="D53" s="3">
        <v>809</v>
      </c>
      <c r="E53" s="3">
        <v>105</v>
      </c>
      <c r="F53" s="3">
        <v>69</v>
      </c>
      <c r="G53" s="3">
        <v>65</v>
      </c>
      <c r="H53" s="4">
        <f t="shared" si="4"/>
        <v>239</v>
      </c>
      <c r="I53" s="4">
        <f t="shared" si="5"/>
        <v>4</v>
      </c>
      <c r="J53" s="5">
        <f t="shared" si="6"/>
        <v>5</v>
      </c>
      <c r="K53" s="6">
        <f t="shared" si="7"/>
        <v>6</v>
      </c>
      <c r="L53" s="3"/>
      <c r="M53" s="3">
        <v>5</v>
      </c>
    </row>
    <row r="54" spans="1:13" x14ac:dyDescent="0.25">
      <c r="A54" s="2" t="s">
        <v>56</v>
      </c>
      <c r="B54" s="3">
        <v>6410279</v>
      </c>
      <c r="C54" s="3">
        <v>84</v>
      </c>
      <c r="D54" s="3">
        <v>518</v>
      </c>
      <c r="E54" s="3">
        <v>67</v>
      </c>
      <c r="F54" s="3">
        <v>63</v>
      </c>
      <c r="G54" s="3">
        <v>37</v>
      </c>
      <c r="H54" s="4">
        <f t="shared" si="4"/>
        <v>167</v>
      </c>
      <c r="I54" s="4">
        <f t="shared" si="5"/>
        <v>2</v>
      </c>
      <c r="J54" s="5">
        <f t="shared" si="6"/>
        <v>3</v>
      </c>
      <c r="K54" s="6">
        <f t="shared" si="7"/>
        <v>3</v>
      </c>
      <c r="L54" s="3"/>
      <c r="M54" s="3">
        <v>3</v>
      </c>
    </row>
    <row r="55" spans="1:13" x14ac:dyDescent="0.25">
      <c r="A55" s="2" t="s">
        <v>57</v>
      </c>
      <c r="B55" s="3">
        <v>6415628</v>
      </c>
      <c r="C55" s="3" t="s">
        <v>58</v>
      </c>
      <c r="D55" s="3">
        <v>954</v>
      </c>
      <c r="E55" s="3"/>
      <c r="F55" s="3"/>
      <c r="G55" s="3"/>
      <c r="H55" s="4">
        <f t="shared" si="4"/>
        <v>0</v>
      </c>
      <c r="I55" s="4" t="e">
        <f t="shared" si="5"/>
        <v>#VALUE!</v>
      </c>
      <c r="J55" s="5" t="e">
        <f t="shared" si="6"/>
        <v>#VALUE!</v>
      </c>
      <c r="K55" s="6" t="e">
        <f t="shared" si="7"/>
        <v>#VALUE!</v>
      </c>
      <c r="L55" s="3"/>
      <c r="M55" s="3">
        <v>5</v>
      </c>
    </row>
    <row r="56" spans="1:13" x14ac:dyDescent="0.25">
      <c r="A56" s="2" t="s">
        <v>59</v>
      </c>
      <c r="B56" s="3">
        <v>6407147</v>
      </c>
      <c r="C56" s="3">
        <v>60</v>
      </c>
      <c r="D56" s="3">
        <v>255</v>
      </c>
      <c r="E56" s="3">
        <v>12</v>
      </c>
      <c r="F56" s="3">
        <v>14</v>
      </c>
      <c r="G56" s="3">
        <v>33</v>
      </c>
      <c r="H56" s="4">
        <f t="shared" si="4"/>
        <v>59</v>
      </c>
      <c r="I56" s="4">
        <f t="shared" si="5"/>
        <v>1</v>
      </c>
      <c r="J56" s="5">
        <f t="shared" si="6"/>
        <v>2</v>
      </c>
      <c r="K56" s="6">
        <f t="shared" si="7"/>
        <v>2</v>
      </c>
      <c r="L56" s="3"/>
      <c r="M56" s="3">
        <v>3</v>
      </c>
    </row>
    <row r="57" spans="1:13" ht="30" x14ac:dyDescent="0.25">
      <c r="A57" s="2" t="s">
        <v>60</v>
      </c>
      <c r="B57" s="3">
        <v>6407790</v>
      </c>
      <c r="C57" s="3">
        <v>60</v>
      </c>
      <c r="D57" s="3">
        <v>691</v>
      </c>
      <c r="E57" s="3">
        <v>33</v>
      </c>
      <c r="F57" s="3">
        <v>13</v>
      </c>
      <c r="G57" s="3">
        <v>17</v>
      </c>
      <c r="H57" s="4">
        <f t="shared" si="4"/>
        <v>63</v>
      </c>
      <c r="I57" s="4">
        <f t="shared" si="5"/>
        <v>2</v>
      </c>
      <c r="J57" s="5">
        <f t="shared" si="6"/>
        <v>3</v>
      </c>
      <c r="K57" s="6">
        <f t="shared" si="7"/>
        <v>3</v>
      </c>
      <c r="L57" s="3"/>
      <c r="M57" s="3">
        <v>3</v>
      </c>
    </row>
    <row r="58" spans="1:13" x14ac:dyDescent="0.25">
      <c r="A58" s="2" t="s">
        <v>61</v>
      </c>
      <c r="B58" s="3">
        <v>6413573</v>
      </c>
      <c r="C58" s="3">
        <v>60</v>
      </c>
      <c r="D58" s="3">
        <v>966</v>
      </c>
      <c r="E58" s="3">
        <v>36</v>
      </c>
      <c r="F58" s="3">
        <v>26</v>
      </c>
      <c r="G58" s="3">
        <v>33</v>
      </c>
      <c r="H58" s="4">
        <f t="shared" si="4"/>
        <v>95</v>
      </c>
      <c r="I58" s="4">
        <f t="shared" si="5"/>
        <v>2</v>
      </c>
      <c r="J58" s="5">
        <f t="shared" si="6"/>
        <v>3</v>
      </c>
      <c r="K58" s="6">
        <f t="shared" si="7"/>
        <v>3</v>
      </c>
      <c r="L58" s="3"/>
      <c r="M58" s="3">
        <v>6</v>
      </c>
    </row>
    <row r="59" spans="1:13" x14ac:dyDescent="0.25">
      <c r="A59" s="2" t="s">
        <v>62</v>
      </c>
      <c r="B59" s="3">
        <v>6413366</v>
      </c>
      <c r="C59" s="3">
        <v>48</v>
      </c>
      <c r="D59" s="3">
        <v>830</v>
      </c>
      <c r="E59" s="3">
        <v>41</v>
      </c>
      <c r="F59" s="3">
        <v>21</v>
      </c>
      <c r="G59" s="3">
        <v>38</v>
      </c>
      <c r="H59" s="4">
        <f t="shared" si="4"/>
        <v>100</v>
      </c>
      <c r="I59" s="4">
        <f t="shared" si="5"/>
        <v>3</v>
      </c>
      <c r="J59" s="5">
        <f t="shared" si="6"/>
        <v>4</v>
      </c>
      <c r="K59" s="6">
        <f t="shared" si="7"/>
        <v>4</v>
      </c>
      <c r="L59" s="3"/>
      <c r="M59" s="3">
        <v>4</v>
      </c>
    </row>
    <row r="60" spans="1:13" x14ac:dyDescent="0.25">
      <c r="A60" s="2" t="s">
        <v>63</v>
      </c>
      <c r="B60" s="3">
        <v>6418108</v>
      </c>
      <c r="C60" s="3">
        <v>48</v>
      </c>
      <c r="D60" s="3"/>
      <c r="E60" s="3"/>
      <c r="F60" s="3"/>
      <c r="G60" s="3"/>
      <c r="H60" s="4">
        <f t="shared" si="4"/>
        <v>0</v>
      </c>
      <c r="I60" s="4">
        <f t="shared" si="5"/>
        <v>0</v>
      </c>
      <c r="J60" s="5">
        <f t="shared" si="6"/>
        <v>0</v>
      </c>
      <c r="K60" s="6">
        <f t="shared" si="7"/>
        <v>0</v>
      </c>
      <c r="L60" s="3"/>
      <c r="M60" s="3">
        <v>4</v>
      </c>
    </row>
    <row r="61" spans="1:13" x14ac:dyDescent="0.25">
      <c r="A61" s="2" t="s">
        <v>64</v>
      </c>
      <c r="B61" s="3">
        <v>6411087</v>
      </c>
      <c r="C61" s="3">
        <v>72</v>
      </c>
      <c r="D61" s="3">
        <v>833</v>
      </c>
      <c r="E61" s="3">
        <v>27</v>
      </c>
      <c r="F61" s="3">
        <v>26</v>
      </c>
      <c r="G61" s="3">
        <v>25</v>
      </c>
      <c r="H61" s="4">
        <f t="shared" si="4"/>
        <v>78</v>
      </c>
      <c r="I61" s="4">
        <f t="shared" si="5"/>
        <v>2</v>
      </c>
      <c r="J61" s="5">
        <f t="shared" si="6"/>
        <v>3</v>
      </c>
      <c r="K61" s="6">
        <f t="shared" si="7"/>
        <v>3</v>
      </c>
      <c r="L61" s="3"/>
      <c r="M61" s="3">
        <v>3</v>
      </c>
    </row>
    <row r="62" spans="1:13" x14ac:dyDescent="0.25">
      <c r="A62" s="2" t="s">
        <v>65</v>
      </c>
      <c r="B62" s="3">
        <v>6205048</v>
      </c>
      <c r="C62" s="3">
        <v>100</v>
      </c>
      <c r="D62" s="3">
        <v>950</v>
      </c>
      <c r="E62" s="3">
        <v>83</v>
      </c>
      <c r="F62" s="3">
        <v>60</v>
      </c>
      <c r="G62" s="3">
        <v>52</v>
      </c>
      <c r="H62" s="4">
        <f t="shared" si="4"/>
        <v>195</v>
      </c>
      <c r="I62" s="4">
        <f t="shared" si="5"/>
        <v>2</v>
      </c>
      <c r="J62" s="5">
        <f t="shared" si="6"/>
        <v>3</v>
      </c>
      <c r="K62" s="6">
        <f t="shared" si="7"/>
        <v>3</v>
      </c>
      <c r="L62" s="3"/>
      <c r="M62" s="3">
        <v>3</v>
      </c>
    </row>
    <row r="63" spans="1:13" x14ac:dyDescent="0.25">
      <c r="A63" s="2" t="s">
        <v>66</v>
      </c>
      <c r="B63" s="3">
        <v>6413595</v>
      </c>
      <c r="C63" s="3">
        <v>84</v>
      </c>
      <c r="D63" s="3">
        <v>810</v>
      </c>
      <c r="E63" s="3">
        <v>50</v>
      </c>
      <c r="F63" s="3">
        <v>49</v>
      </c>
      <c r="G63" s="3">
        <v>33</v>
      </c>
      <c r="H63" s="4">
        <f t="shared" si="4"/>
        <v>132</v>
      </c>
      <c r="I63" s="4">
        <f t="shared" si="5"/>
        <v>2</v>
      </c>
      <c r="J63" s="5">
        <f t="shared" si="6"/>
        <v>3</v>
      </c>
      <c r="K63" s="6">
        <f t="shared" si="7"/>
        <v>3</v>
      </c>
      <c r="L63" s="3"/>
      <c r="M63" s="3">
        <v>3</v>
      </c>
    </row>
    <row r="64" spans="1:13" x14ac:dyDescent="0.25">
      <c r="A64" s="2" t="s">
        <v>67</v>
      </c>
      <c r="B64" s="3">
        <v>6413318</v>
      </c>
      <c r="C64" s="3">
        <v>84</v>
      </c>
      <c r="D64" s="3">
        <v>869</v>
      </c>
      <c r="E64" s="3">
        <v>20</v>
      </c>
      <c r="F64" s="3">
        <v>29</v>
      </c>
      <c r="G64" s="3">
        <v>18</v>
      </c>
      <c r="H64" s="4">
        <f t="shared" si="4"/>
        <v>67</v>
      </c>
      <c r="I64" s="4">
        <f t="shared" si="5"/>
        <v>1</v>
      </c>
      <c r="J64" s="5">
        <f t="shared" si="6"/>
        <v>2</v>
      </c>
      <c r="K64" s="6">
        <f t="shared" si="7"/>
        <v>2</v>
      </c>
      <c r="L64" s="3"/>
      <c r="M64" s="3">
        <v>3</v>
      </c>
    </row>
    <row r="65" spans="1:13" x14ac:dyDescent="0.25">
      <c r="A65" s="2" t="s">
        <v>68</v>
      </c>
      <c r="B65" s="3">
        <v>6413436</v>
      </c>
      <c r="C65" s="3">
        <v>96</v>
      </c>
      <c r="D65" s="3">
        <v>818</v>
      </c>
      <c r="E65" s="3">
        <v>28</v>
      </c>
      <c r="F65" s="3">
        <v>26</v>
      </c>
      <c r="G65" s="3">
        <v>21</v>
      </c>
      <c r="H65" s="4">
        <f t="shared" si="4"/>
        <v>75</v>
      </c>
      <c r="I65" s="4">
        <f t="shared" si="5"/>
        <v>1</v>
      </c>
      <c r="J65" s="5">
        <f t="shared" si="6"/>
        <v>2</v>
      </c>
      <c r="K65" s="6">
        <f t="shared" si="7"/>
        <v>2</v>
      </c>
      <c r="L65" s="3"/>
      <c r="M65" s="3">
        <v>3</v>
      </c>
    </row>
    <row r="66" spans="1:13" x14ac:dyDescent="0.25">
      <c r="A66" s="13" t="s">
        <v>69</v>
      </c>
      <c r="B66" s="12">
        <v>6413176</v>
      </c>
      <c r="C66" s="12">
        <v>72</v>
      </c>
      <c r="D66" s="12">
        <v>987</v>
      </c>
      <c r="E66" s="12">
        <v>150</v>
      </c>
      <c r="F66" s="12">
        <v>104</v>
      </c>
      <c r="G66" s="12">
        <v>108</v>
      </c>
      <c r="H66" s="14">
        <f t="shared" si="4"/>
        <v>362</v>
      </c>
      <c r="I66" s="14">
        <f t="shared" si="5"/>
        <v>6</v>
      </c>
      <c r="J66" s="15">
        <f t="shared" si="6"/>
        <v>8</v>
      </c>
      <c r="K66" s="16">
        <f t="shared" si="7"/>
        <v>8</v>
      </c>
      <c r="L66" s="12" t="s">
        <v>84</v>
      </c>
      <c r="M66" s="12">
        <v>4</v>
      </c>
    </row>
    <row r="67" spans="1:13" x14ac:dyDescent="0.25">
      <c r="A67" s="13" t="s">
        <v>70</v>
      </c>
      <c r="B67" s="12">
        <v>6411796</v>
      </c>
      <c r="C67" s="12">
        <v>96</v>
      </c>
      <c r="D67" s="12">
        <v>827</v>
      </c>
      <c r="E67" s="12">
        <v>236</v>
      </c>
      <c r="F67" s="12">
        <v>38</v>
      </c>
      <c r="G67" s="12">
        <v>55</v>
      </c>
      <c r="H67" s="14">
        <f t="shared" si="4"/>
        <v>329</v>
      </c>
      <c r="I67" s="14">
        <f t="shared" si="5"/>
        <v>4</v>
      </c>
      <c r="J67" s="15">
        <f t="shared" si="6"/>
        <v>5</v>
      </c>
      <c r="K67" s="16">
        <f t="shared" si="7"/>
        <v>6</v>
      </c>
      <c r="L67" s="12" t="s">
        <v>83</v>
      </c>
      <c r="M67" s="12">
        <v>3</v>
      </c>
    </row>
    <row r="68" spans="1:13" x14ac:dyDescent="0.25">
      <c r="A68" s="2" t="s">
        <v>71</v>
      </c>
      <c r="B68" s="3">
        <v>6407996</v>
      </c>
      <c r="C68" s="3">
        <v>60</v>
      </c>
      <c r="D68" s="3">
        <v>359</v>
      </c>
      <c r="E68" s="3">
        <v>150</v>
      </c>
      <c r="F68" s="3">
        <v>102</v>
      </c>
      <c r="G68" s="3">
        <v>175</v>
      </c>
      <c r="H68" s="4">
        <f t="shared" si="4"/>
        <v>427</v>
      </c>
      <c r="I68" s="4">
        <f t="shared" si="5"/>
        <v>8</v>
      </c>
      <c r="J68" s="5">
        <f t="shared" si="6"/>
        <v>10</v>
      </c>
      <c r="K68" s="6">
        <f t="shared" si="7"/>
        <v>11</v>
      </c>
      <c r="L68" s="3"/>
      <c r="M68" s="3">
        <v>12</v>
      </c>
    </row>
    <row r="69" spans="1:13" x14ac:dyDescent="0.25">
      <c r="A69" s="2" t="s">
        <v>72</v>
      </c>
      <c r="B69" s="3">
        <v>6412051</v>
      </c>
      <c r="C69" s="3">
        <v>72</v>
      </c>
      <c r="D69" s="3">
        <v>883</v>
      </c>
      <c r="E69" s="3">
        <v>286</v>
      </c>
      <c r="F69" s="3">
        <v>208</v>
      </c>
      <c r="G69" s="3">
        <v>236</v>
      </c>
      <c r="H69" s="4">
        <f t="shared" ref="H69:H75" si="8">E69+F69+G69</f>
        <v>730</v>
      </c>
      <c r="I69" s="4">
        <f t="shared" ref="I69:I75" si="9">IF(C69=0,"",ROUNDUP(H69/C69,0))</f>
        <v>11</v>
      </c>
      <c r="J69" s="5">
        <f t="shared" ref="J69:J75" si="10">IF(I69="","",ROUNDUP(I69*1.2,0))</f>
        <v>14</v>
      </c>
      <c r="K69" s="6">
        <f t="shared" ref="K69:K75" si="11">IF(I69="","",ROUNDUP(I69*1.3,0))</f>
        <v>15</v>
      </c>
      <c r="L69" s="3"/>
      <c r="M69" s="3" t="s">
        <v>90</v>
      </c>
    </row>
    <row r="70" spans="1:13" ht="30" x14ac:dyDescent="0.25">
      <c r="A70" s="2" t="s">
        <v>73</v>
      </c>
      <c r="B70" s="3">
        <v>6415780</v>
      </c>
      <c r="C70" s="3">
        <v>30</v>
      </c>
      <c r="D70" s="3">
        <v>892</v>
      </c>
      <c r="E70" s="3">
        <v>16</v>
      </c>
      <c r="F70" s="3">
        <v>33</v>
      </c>
      <c r="G70" s="3">
        <v>19</v>
      </c>
      <c r="H70" s="4">
        <f t="shared" si="8"/>
        <v>68</v>
      </c>
      <c r="I70" s="4">
        <f t="shared" si="9"/>
        <v>3</v>
      </c>
      <c r="J70" s="5">
        <f t="shared" si="10"/>
        <v>4</v>
      </c>
      <c r="K70" s="6">
        <f t="shared" si="11"/>
        <v>4</v>
      </c>
      <c r="L70" s="3"/>
      <c r="M70" s="3">
        <v>3</v>
      </c>
    </row>
    <row r="71" spans="1:13" x14ac:dyDescent="0.25">
      <c r="A71" s="2" t="s">
        <v>74</v>
      </c>
      <c r="B71" s="3">
        <v>227379</v>
      </c>
      <c r="C71" s="3">
        <v>16</v>
      </c>
      <c r="D71" s="3"/>
      <c r="E71" s="3"/>
      <c r="F71" s="3"/>
      <c r="G71" s="3"/>
      <c r="H71" s="4">
        <f t="shared" si="8"/>
        <v>0</v>
      </c>
      <c r="I71" s="4">
        <f t="shared" si="9"/>
        <v>0</v>
      </c>
      <c r="J71" s="5">
        <f t="shared" si="10"/>
        <v>0</v>
      </c>
      <c r="K71" s="6">
        <f t="shared" si="11"/>
        <v>0</v>
      </c>
      <c r="L71" s="3"/>
      <c r="M71" s="3">
        <v>4</v>
      </c>
    </row>
    <row r="72" spans="1:13" x14ac:dyDescent="0.25">
      <c r="A72" s="2" t="s">
        <v>75</v>
      </c>
      <c r="B72" s="3">
        <v>6412286</v>
      </c>
      <c r="C72" s="3">
        <v>84</v>
      </c>
      <c r="D72" s="3">
        <v>837</v>
      </c>
      <c r="E72" s="3">
        <v>66</v>
      </c>
      <c r="F72" s="3">
        <v>36</v>
      </c>
      <c r="G72" s="3">
        <v>18</v>
      </c>
      <c r="H72" s="4">
        <f t="shared" si="8"/>
        <v>120</v>
      </c>
      <c r="I72" s="4">
        <f t="shared" si="9"/>
        <v>2</v>
      </c>
      <c r="J72" s="5">
        <f t="shared" si="10"/>
        <v>3</v>
      </c>
      <c r="K72" s="6">
        <f t="shared" si="11"/>
        <v>3</v>
      </c>
      <c r="L72" s="3"/>
      <c r="M72" s="3">
        <v>3</v>
      </c>
    </row>
    <row r="73" spans="1:13" x14ac:dyDescent="0.25">
      <c r="A73" s="2" t="s">
        <v>76</v>
      </c>
      <c r="B73" s="3">
        <v>9002360</v>
      </c>
      <c r="C73" s="3">
        <v>55</v>
      </c>
      <c r="D73" s="3">
        <v>898</v>
      </c>
      <c r="E73" s="3">
        <v>305</v>
      </c>
      <c r="F73" s="3">
        <v>364</v>
      </c>
      <c r="G73" s="3">
        <v>273</v>
      </c>
      <c r="H73" s="4">
        <f t="shared" si="8"/>
        <v>942</v>
      </c>
      <c r="I73" s="4">
        <f t="shared" si="9"/>
        <v>18</v>
      </c>
      <c r="J73" s="5">
        <f t="shared" si="10"/>
        <v>22</v>
      </c>
      <c r="K73" s="6">
        <f t="shared" si="11"/>
        <v>24</v>
      </c>
      <c r="L73" s="3"/>
      <c r="M73" s="3">
        <v>13</v>
      </c>
    </row>
    <row r="74" spans="1:13" x14ac:dyDescent="0.25">
      <c r="A74" s="2" t="s">
        <v>77</v>
      </c>
      <c r="B74" s="3">
        <v>4118</v>
      </c>
      <c r="C74" s="3">
        <v>25</v>
      </c>
      <c r="D74" s="3">
        <v>447</v>
      </c>
      <c r="E74" s="3">
        <v>42</v>
      </c>
      <c r="F74" s="3">
        <v>52</v>
      </c>
      <c r="G74" s="3">
        <v>74</v>
      </c>
      <c r="H74" s="4">
        <f t="shared" si="8"/>
        <v>168</v>
      </c>
      <c r="I74" s="4">
        <f t="shared" si="9"/>
        <v>7</v>
      </c>
      <c r="J74" s="5">
        <f t="shared" si="10"/>
        <v>9</v>
      </c>
      <c r="K74" s="6">
        <f t="shared" si="11"/>
        <v>10</v>
      </c>
      <c r="L74" s="3"/>
      <c r="M74" s="3">
        <v>8</v>
      </c>
    </row>
    <row r="75" spans="1:13" x14ac:dyDescent="0.25">
      <c r="A75" s="2" t="s">
        <v>78</v>
      </c>
      <c r="B75" s="3">
        <v>6400362</v>
      </c>
      <c r="C75" s="3">
        <v>30</v>
      </c>
      <c r="D75" s="3">
        <v>673</v>
      </c>
      <c r="E75" s="3">
        <v>23</v>
      </c>
      <c r="F75" s="3">
        <v>3</v>
      </c>
      <c r="G75" s="3">
        <v>0</v>
      </c>
      <c r="H75" s="4">
        <f t="shared" si="8"/>
        <v>26</v>
      </c>
      <c r="I75" s="4">
        <f t="shared" si="9"/>
        <v>1</v>
      </c>
      <c r="J75" s="5">
        <f t="shared" si="10"/>
        <v>2</v>
      </c>
      <c r="K75" s="6">
        <f t="shared" si="11"/>
        <v>2</v>
      </c>
      <c r="L75" s="3"/>
      <c r="M75" s="3">
        <v>8</v>
      </c>
    </row>
    <row r="77" spans="1:13" x14ac:dyDescent="0.25">
      <c r="A77" t="s">
        <v>79</v>
      </c>
    </row>
    <row r="78" spans="1:13" ht="15.75" x14ac:dyDescent="0.25">
      <c r="A78" s="19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3" x14ac:dyDescent="0.25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3" x14ac:dyDescent="0.25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 x14ac:dyDescent="0.25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spans="1:11" x14ac:dyDescent="0.25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 x14ac:dyDescent="0.25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1:11" x14ac:dyDescent="0.25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 x14ac:dyDescent="0.25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 x14ac:dyDescent="0.25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 x14ac:dyDescent="0.25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 x14ac:dyDescent="0.25">
      <c r="A88" s="17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x14ac:dyDescent="0.25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1:11" x14ac:dyDescent="0.25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 x14ac:dyDescent="0.25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 x14ac:dyDescent="0.25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 x14ac:dyDescent="0.25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spans="1:11" x14ac:dyDescent="0.25">
      <c r="A94" s="17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spans="1:11" x14ac:dyDescent="0.25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spans="1:11" x14ac:dyDescent="0.25">
      <c r="A96" s="17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 x14ac:dyDescent="0.25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8"/>
    </row>
  </sheetData>
  <mergeCells count="22">
    <mergeCell ref="A97:K97"/>
    <mergeCell ref="A96:K96"/>
    <mergeCell ref="A81:K81"/>
    <mergeCell ref="A93:K93"/>
    <mergeCell ref="A83:K83"/>
    <mergeCell ref="A92:K92"/>
    <mergeCell ref="A82:K82"/>
    <mergeCell ref="A95:K95"/>
    <mergeCell ref="A85:K85"/>
    <mergeCell ref="A91:K91"/>
    <mergeCell ref="A1:M1"/>
    <mergeCell ref="A2:M2"/>
    <mergeCell ref="A94:K94"/>
    <mergeCell ref="A79:K79"/>
    <mergeCell ref="A88:K88"/>
    <mergeCell ref="A78:K78"/>
    <mergeCell ref="A87:K87"/>
    <mergeCell ref="A84:K84"/>
    <mergeCell ref="A90:K90"/>
    <mergeCell ref="A80:K80"/>
    <mergeCell ref="A89:K89"/>
    <mergeCell ref="A86:K86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Bake-off Kalkulátor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Balázs Bokor</cp:lastModifiedBy>
  <dcterms:created xsi:type="dcterms:W3CDTF">2026-01-31T20:37:26Z</dcterms:created>
  <dcterms:modified xsi:type="dcterms:W3CDTF">2026-02-03T04:54:23Z</dcterms:modified>
</cp:coreProperties>
</file>